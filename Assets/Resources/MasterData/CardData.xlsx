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Unitydata\ShadowBeyond\Assets\Resources\MasterData\"/>
    </mc:Choice>
  </mc:AlternateContent>
  <xr:revisionPtr revIDLastSave="0" documentId="13_ncr:1_{F4D8CE84-1A30-4074-B6D4-95E6A307D6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Data" sheetId="1" r:id="rId1"/>
    <sheet name="Selec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1" l="1"/>
  <c r="E12" i="1"/>
  <c r="G12" i="1"/>
  <c r="G8" i="1"/>
  <c r="C9" i="1"/>
  <c r="E9" i="1"/>
  <c r="G9" i="1"/>
  <c r="C10" i="1"/>
  <c r="E10" i="1"/>
  <c r="G10" i="1"/>
  <c r="C11" i="1"/>
  <c r="E11" i="1"/>
  <c r="G11" i="1"/>
  <c r="C8" i="1"/>
  <c r="E8" i="1"/>
  <c r="C7" i="1"/>
  <c r="E7" i="1"/>
  <c r="G7" i="1"/>
  <c r="C6" i="1"/>
  <c r="E6" i="1"/>
  <c r="G6" i="1"/>
  <c r="G5" i="1"/>
  <c r="E5" i="1"/>
  <c r="C5" i="1"/>
  <c r="G3" i="1"/>
  <c r="G4" i="1"/>
  <c r="C2" i="1"/>
  <c r="G2" i="1"/>
  <c r="E2" i="1"/>
  <c r="E3" i="1"/>
  <c r="E4" i="1"/>
  <c r="C3" i="1"/>
  <c r="C4" i="1"/>
</calcChain>
</file>

<file path=xl/sharedStrings.xml><?xml version="1.0" encoding="utf-8"?>
<sst xmlns="http://schemas.openxmlformats.org/spreadsheetml/2006/main" count="72" uniqueCount="51">
  <si>
    <t>Dragon</t>
    <phoneticPr fontId="1"/>
  </si>
  <si>
    <t>Neutral</t>
  </si>
  <si>
    <t>Neutral</t>
    <phoneticPr fontId="1"/>
  </si>
  <si>
    <t>ゴブリン</t>
    <phoneticPr fontId="1"/>
  </si>
  <si>
    <t>ファイター</t>
    <phoneticPr fontId="1"/>
  </si>
  <si>
    <t>ゴリアテ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</si>
  <si>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</si>
  <si>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</si>
  <si>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</si>
  <si>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</si>
  <si>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</si>
  <si>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</si>
  <si>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</si>
  <si>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Text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</si>
  <si>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</si>
  <si>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</si>
  <si>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</si>
  <si>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</si>
  <si>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</si>
  <si>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</si>
  <si>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</si>
  <si>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</si>
  <si>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</si>
  <si>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</si>
  <si>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</si>
  <si>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ID</t>
    <phoneticPr fontId="1"/>
  </si>
  <si>
    <t>Type</t>
    <phoneticPr fontId="1"/>
  </si>
  <si>
    <t>IllustID</t>
    <phoneticPr fontId="1"/>
  </si>
  <si>
    <t>SelectClass</t>
    <phoneticPr fontId="1"/>
  </si>
  <si>
    <t>Class</t>
    <phoneticPr fontId="1"/>
  </si>
  <si>
    <t>SelectRarity</t>
    <phoneticPr fontId="1"/>
  </si>
  <si>
    <t>Rarity</t>
    <phoneticPr fontId="1"/>
  </si>
  <si>
    <t>SelectType</t>
    <phoneticPr fontId="1"/>
  </si>
  <si>
    <t>Gold</t>
  </si>
  <si>
    <t>Rune</t>
  </si>
  <si>
    <t>Spell</t>
  </si>
  <si>
    <t>Forest</t>
  </si>
  <si>
    <t>Sword</t>
  </si>
  <si>
    <t>フェアリー</t>
    <phoneticPr fontId="1"/>
  </si>
  <si>
    <t>ナイト</t>
    <phoneticPr fontId="1"/>
  </si>
  <si>
    <t>知恵の光</t>
    <rPh sb="0" eb="2">
      <t>チエ</t>
    </rPh>
    <rPh sb="3" eb="4">
      <t>ヒカリ</t>
    </rPh>
    <phoneticPr fontId="1"/>
  </si>
  <si>
    <t>Dragon</t>
  </si>
  <si>
    <t>Abyss</t>
  </si>
  <si>
    <t>Portal</t>
  </si>
  <si>
    <t>Haven</t>
  </si>
  <si>
    <t>竜の託宣</t>
    <rPh sb="0" eb="1">
      <t>リュウ</t>
    </rPh>
    <rPh sb="2" eb="4">
      <t>タクセン</t>
    </rPh>
    <phoneticPr fontId="1"/>
  </si>
  <si>
    <t>ゴースト</t>
    <phoneticPr fontId="1"/>
  </si>
  <si>
    <t>漆黒の法典</t>
    <rPh sb="0" eb="2">
      <t>シッコク</t>
    </rPh>
    <rPh sb="3" eb="5">
      <t>ホウテン</t>
    </rPh>
    <phoneticPr fontId="1"/>
  </si>
  <si>
    <t>操り人形</t>
    <rPh sb="0" eb="1">
      <t>アヤツ</t>
    </rPh>
    <rPh sb="2" eb="4">
      <t>ニンギョウ</t>
    </rPh>
    <phoneticPr fontId="1"/>
  </si>
  <si>
    <t>リノセウス</t>
    <phoneticPr fontId="1"/>
  </si>
  <si>
    <t>Defence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</si>
</sst>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0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0" xfId="0" applyBorder="1"/>
    <xf numFmtId="176" fontId="0" fillId="2" borderId="1" xfId="0" applyNumberFormat="1" applyFill="1" applyBorder="1" applyAlignment="1">
      <alignment horizontal="center" vertical="center"/>
    </xf>
    <xf numFmtId="176" fontId="0" fillId="0" borderId="1" xfId="0" applyNumberFormat="1" applyBorder="1" applyAlignment="1"/>
    <xf numFmtId="176" fontId="0" fillId="0" borderId="2" xfId="0" applyNumberFormat="1" applyBorder="1" applyAlignment="1"/>
    <xf numFmtId="176" fontId="0" fillId="0" borderId="0" xfId="0" applyNumberFormat="1" applyBorder="1" applyAlignment="1"/>
    <xf numFmtId="176" fontId="0" fillId="0" borderId="0" xfId="0" applyNumberFormat="1" applyAlignment="1"/>
    <xf numFmtId="0" fontId="0" fillId="3" borderId="1" xfId="0" applyFill="1" applyBorder="1"/>
    <xf numFmtId="0" fontId="0" fillId="3" borderId="2" xfId="0" applyFill="1" applyBorder="1"/>
    <xf numFmtId="0" fontId="0" fillId="3" borderId="0" xfId="0" applyFill="1" applyBorder="1"/>
    <xf numFmtId="0" fontId="0" fillId="3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tabSelected="1" workbookViewId="0">
      <selection activeCell="O13" sqref="O13"/>
    </sheetView>
  </sheetViews>
  <sheetFormatPr defaultRowHeight="18.75"/>
  <cols>
    <col min="1" max="1" width="8.625" style="10" bestFit="1" customWidth="1"/>
    <col min="2" max="2" width="11.625" bestFit="1" customWidth="1"/>
    <col min="3" max="3" width="7.75" style="14" customWidth="1"/>
    <col min="4" max="4" width="11.75" bestFit="1" customWidth="1"/>
    <col min="5" max="5" width="7.375" style="14" customWidth="1"/>
    <col min="6" max="6" width="11" bestFit="1" customWidth="1"/>
    <col min="7" max="7" width="8.75" style="14" customWidth="1"/>
    <col min="8" max="8" width="21.375" bestFit="1" customWidth="1"/>
    <col min="9" max="9" width="5.375" bestFit="1" customWidth="1"/>
    <col min="10" max="10" width="7" bestFit="1" customWidth="1"/>
    <col min="11" max="11" width="8.625" bestFit="1" customWidth="1"/>
    <col min="12" max="12" width="5.125" bestFit="1" customWidth="1"/>
    <col min="13" max="13" width="10.875" bestFit="1" customWidth="1"/>
  </cols>
  <sheetData>
    <row r="1" spans="1:13">
      <c r="A1" s="6" t="s">
        <v>25</v>
      </c>
      <c r="B1" s="2" t="s">
        <v>28</v>
      </c>
      <c r="C1" s="3" t="s">
        <v>29</v>
      </c>
      <c r="D1" s="2" t="s">
        <v>30</v>
      </c>
      <c r="E1" s="3" t="s">
        <v>31</v>
      </c>
      <c r="F1" s="2" t="s">
        <v>32</v>
      </c>
      <c r="G1" s="3" t="s">
        <v>26</v>
      </c>
      <c r="H1" s="2" t="s">
        <v>10</v>
      </c>
      <c r="I1" s="2" t="s">
        <v>11</v>
      </c>
      <c r="J1" s="2" t="s">
        <v>12</v>
      </c>
      <c r="K1" s="2" t="s">
        <v>50</v>
      </c>
      <c r="L1" s="2" t="s">
        <v>13</v>
      </c>
      <c r="M1" s="2" t="s">
        <v>27</v>
      </c>
    </row>
    <row r="2" spans="1:13">
      <c r="A2" s="7">
        <v>0</v>
      </c>
      <c r="B2" s="1" t="s">
        <v>1</v>
      </c>
      <c r="C2" s="11">
        <f>VLOOKUP(B2,Select!A:D,4,FALSE)</f>
        <v>0</v>
      </c>
      <c r="D2" s="1" t="s">
        <v>14</v>
      </c>
      <c r="E2" s="11">
        <f>VLOOKUP(D2,Select!B:D,3,FALSE)</f>
        <v>0</v>
      </c>
      <c r="F2" s="1" t="s">
        <v>6</v>
      </c>
      <c r="G2" s="11">
        <f>VLOOKUP(F2,Select!C:D,2,FALSE)</f>
        <v>0</v>
      </c>
      <c r="H2" s="1" t="s">
        <v>3</v>
      </c>
      <c r="I2" s="1">
        <v>1</v>
      </c>
      <c r="J2" s="1">
        <v>1</v>
      </c>
      <c r="K2" s="1">
        <v>2</v>
      </c>
      <c r="L2" s="1"/>
      <c r="M2" s="1"/>
    </row>
    <row r="3" spans="1:13">
      <c r="A3" s="7">
        <v>1</v>
      </c>
      <c r="B3" s="1" t="s">
        <v>1</v>
      </c>
      <c r="C3" s="11">
        <f>VLOOKUP(CardData!B3,Select!A:D,4,FALSE)</f>
        <v>0</v>
      </c>
      <c r="D3" s="1" t="s">
        <v>14</v>
      </c>
      <c r="E3" s="11">
        <f>VLOOKUP(D3,Select!B:D,3,FALSE)</f>
        <v>0</v>
      </c>
      <c r="F3" s="1" t="s">
        <v>6</v>
      </c>
      <c r="G3" s="11">
        <f>VLOOKUP(F3,Select!C:D,2,FALSE)</f>
        <v>0</v>
      </c>
      <c r="H3" s="1" t="s">
        <v>4</v>
      </c>
      <c r="I3" s="1">
        <v>2</v>
      </c>
      <c r="J3" s="1">
        <v>2</v>
      </c>
      <c r="K3" s="1">
        <v>2</v>
      </c>
      <c r="L3" s="1"/>
      <c r="M3" s="1"/>
    </row>
    <row r="4" spans="1:13">
      <c r="A4" s="7">
        <v>2</v>
      </c>
      <c r="B4" s="1" t="s">
        <v>1</v>
      </c>
      <c r="C4" s="11">
        <f>VLOOKUP(CardData!B4,Select!A:D,4,FALSE)</f>
        <v>0</v>
      </c>
      <c r="D4" s="1" t="s">
        <v>14</v>
      </c>
      <c r="E4" s="11">
        <f>VLOOKUP(D4,Select!B:D,3,FALSE)</f>
        <v>0</v>
      </c>
      <c r="F4" s="1" t="s">
        <v>6</v>
      </c>
      <c r="G4" s="11">
        <f>VLOOKUP(F4,Select!C:D,2,FALSE)</f>
        <v>0</v>
      </c>
      <c r="H4" s="1" t="s">
        <v>5</v>
      </c>
      <c r="I4" s="1">
        <v>4</v>
      </c>
      <c r="J4" s="1">
        <v>3</v>
      </c>
      <c r="K4" s="1">
        <v>4</v>
      </c>
      <c r="L4" s="1"/>
      <c r="M4" s="1"/>
    </row>
    <row r="5" spans="1:13">
      <c r="A5" s="8">
        <v>100</v>
      </c>
      <c r="B5" s="4" t="s">
        <v>36</v>
      </c>
      <c r="C5" s="12">
        <f>VLOOKUP(CardData!B5,Select!A:D,4,FALSE)</f>
        <v>1</v>
      </c>
      <c r="D5" s="4" t="s">
        <v>14</v>
      </c>
      <c r="E5" s="12">
        <f>VLOOKUP(D5,Select!B:D,3,FALSE)</f>
        <v>0</v>
      </c>
      <c r="F5" s="4" t="s">
        <v>6</v>
      </c>
      <c r="G5" s="12">
        <f>VLOOKUP(F5,Select!C:D,2,FALSE)</f>
        <v>0</v>
      </c>
      <c r="H5" s="4" t="s">
        <v>38</v>
      </c>
      <c r="I5" s="4">
        <v>1</v>
      </c>
      <c r="J5" s="4">
        <v>1</v>
      </c>
      <c r="K5" s="4">
        <v>1</v>
      </c>
      <c r="L5" s="4"/>
      <c r="M5" s="4"/>
    </row>
    <row r="6" spans="1:13">
      <c r="A6" s="8">
        <v>200</v>
      </c>
      <c r="B6" s="4" t="s">
        <v>37</v>
      </c>
      <c r="C6" s="12">
        <f>VLOOKUP(CardData!B6,Select!A:D,4,FALSE)</f>
        <v>2</v>
      </c>
      <c r="D6" s="4" t="s">
        <v>14</v>
      </c>
      <c r="E6" s="12">
        <f>VLOOKUP(D6,Select!B:D,3,FALSE)</f>
        <v>0</v>
      </c>
      <c r="F6" s="4" t="s">
        <v>6</v>
      </c>
      <c r="G6" s="12">
        <f>VLOOKUP(F6,Select!C:D,2,FALSE)</f>
        <v>0</v>
      </c>
      <c r="H6" s="4" t="s">
        <v>39</v>
      </c>
      <c r="I6" s="4">
        <v>1</v>
      </c>
      <c r="J6" s="4">
        <v>1</v>
      </c>
      <c r="K6" s="4">
        <v>1</v>
      </c>
      <c r="L6" s="4"/>
      <c r="M6" s="4"/>
    </row>
    <row r="7" spans="1:13">
      <c r="A7" s="7">
        <v>300</v>
      </c>
      <c r="B7" s="1" t="s">
        <v>34</v>
      </c>
      <c r="C7" s="11">
        <f>VLOOKUP(CardData!B7,Select!A:D,4,FALSE)</f>
        <v>3</v>
      </c>
      <c r="D7" s="1" t="s">
        <v>14</v>
      </c>
      <c r="E7" s="11">
        <f>VLOOKUP(D7,Select!B:D,3,FALSE)</f>
        <v>0</v>
      </c>
      <c r="F7" s="1" t="s">
        <v>35</v>
      </c>
      <c r="G7" s="11">
        <f>VLOOKUP(F7,Select!C:D,2,FALSE)</f>
        <v>1</v>
      </c>
      <c r="H7" s="1" t="s">
        <v>40</v>
      </c>
      <c r="I7" s="1">
        <v>1</v>
      </c>
      <c r="J7" s="1">
        <v>-1</v>
      </c>
      <c r="K7" s="1">
        <v>-1</v>
      </c>
      <c r="L7" s="1"/>
      <c r="M7" s="1"/>
    </row>
    <row r="8" spans="1:13">
      <c r="A8" s="7">
        <v>400</v>
      </c>
      <c r="B8" s="1" t="s">
        <v>41</v>
      </c>
      <c r="C8" s="11">
        <f>VLOOKUP(CardData!B8,Select!A:D,4,FALSE)</f>
        <v>4</v>
      </c>
      <c r="D8" s="1" t="s">
        <v>14</v>
      </c>
      <c r="E8" s="11">
        <f>VLOOKUP(D8,Select!B:D,3,FALSE)</f>
        <v>0</v>
      </c>
      <c r="F8" s="1" t="s">
        <v>35</v>
      </c>
      <c r="G8" s="11">
        <f>VLOOKUP(F8,Select!C:D,2,FALSE)</f>
        <v>1</v>
      </c>
      <c r="H8" s="1" t="s">
        <v>45</v>
      </c>
      <c r="I8" s="1">
        <v>2</v>
      </c>
      <c r="J8" s="1">
        <v>-1</v>
      </c>
      <c r="K8" s="1">
        <v>-1</v>
      </c>
      <c r="L8" s="1"/>
      <c r="M8" s="1"/>
    </row>
    <row r="9" spans="1:13">
      <c r="A9" s="7">
        <v>500</v>
      </c>
      <c r="B9" s="1" t="s">
        <v>42</v>
      </c>
      <c r="C9" s="11">
        <f>VLOOKUP(CardData!B9,Select!A:D,4,FALSE)</f>
        <v>5</v>
      </c>
      <c r="D9" s="1" t="s">
        <v>14</v>
      </c>
      <c r="E9" s="11">
        <f>VLOOKUP(D9,Select!B:D,3,FALSE)</f>
        <v>0</v>
      </c>
      <c r="F9" s="1" t="s">
        <v>6</v>
      </c>
      <c r="G9" s="11">
        <f>VLOOKUP(F9,Select!C:D,2,FALSE)</f>
        <v>0</v>
      </c>
      <c r="H9" s="1" t="s">
        <v>46</v>
      </c>
      <c r="I9" s="1">
        <v>1</v>
      </c>
      <c r="J9" s="1">
        <v>1</v>
      </c>
      <c r="K9" s="1">
        <v>1</v>
      </c>
      <c r="L9" s="1"/>
      <c r="M9" s="1"/>
    </row>
    <row r="10" spans="1:13">
      <c r="A10" s="7">
        <v>600</v>
      </c>
      <c r="B10" s="1" t="s">
        <v>44</v>
      </c>
      <c r="C10" s="11">
        <f>VLOOKUP(CardData!B10,Select!A:D,4,FALSE)</f>
        <v>6</v>
      </c>
      <c r="D10" s="1" t="s">
        <v>14</v>
      </c>
      <c r="E10" s="11">
        <f>VLOOKUP(D10,Select!B:D,3,FALSE)</f>
        <v>0</v>
      </c>
      <c r="F10" s="1" t="s">
        <v>35</v>
      </c>
      <c r="G10" s="11">
        <f>VLOOKUP(F10,Select!C:D,2,FALSE)</f>
        <v>1</v>
      </c>
      <c r="H10" s="1" t="s">
        <v>47</v>
      </c>
      <c r="I10" s="1">
        <v>2</v>
      </c>
      <c r="J10" s="1">
        <v>-1</v>
      </c>
      <c r="K10" s="1">
        <v>-1</v>
      </c>
      <c r="L10" s="1"/>
      <c r="M10" s="1"/>
    </row>
    <row r="11" spans="1:13">
      <c r="A11" s="7">
        <v>700</v>
      </c>
      <c r="B11" s="1" t="s">
        <v>43</v>
      </c>
      <c r="C11" s="11">
        <f>VLOOKUP(CardData!B11,Select!A:D,4,FALSE)</f>
        <v>7</v>
      </c>
      <c r="D11" s="1" t="s">
        <v>14</v>
      </c>
      <c r="E11" s="11">
        <f>VLOOKUP(D11,Select!B:D,3,FALSE)</f>
        <v>0</v>
      </c>
      <c r="F11" s="1" t="s">
        <v>6</v>
      </c>
      <c r="G11" s="11">
        <f>VLOOKUP(F11,Select!C:D,2,FALSE)</f>
        <v>0</v>
      </c>
      <c r="H11" s="1" t="s">
        <v>48</v>
      </c>
      <c r="I11" s="1">
        <v>1</v>
      </c>
      <c r="J11" s="1">
        <v>1</v>
      </c>
      <c r="K11" s="1">
        <v>1</v>
      </c>
      <c r="L11" s="1"/>
      <c r="M11" s="1"/>
    </row>
    <row r="12" spans="1:13">
      <c r="A12" s="7">
        <v>1100</v>
      </c>
      <c r="B12" s="1" t="s">
        <v>36</v>
      </c>
      <c r="C12" s="11">
        <f>VLOOKUP(CardData!B12,Select!A:D,4,FALSE)</f>
        <v>1</v>
      </c>
      <c r="D12" s="1" t="s">
        <v>33</v>
      </c>
      <c r="E12" s="11">
        <f>VLOOKUP(D12,Select!B:D,3,FALSE)</f>
        <v>2</v>
      </c>
      <c r="F12" s="1" t="s">
        <v>6</v>
      </c>
      <c r="G12" s="11">
        <f>VLOOKUP(F12,Select!C:D,2,FALSE)</f>
        <v>0</v>
      </c>
      <c r="H12" s="1" t="s">
        <v>49</v>
      </c>
      <c r="I12" s="1">
        <v>2</v>
      </c>
      <c r="J12" s="1">
        <v>1</v>
      </c>
      <c r="K12" s="1">
        <v>1</v>
      </c>
      <c r="L12" s="1"/>
      <c r="M12" s="1"/>
    </row>
    <row r="13" spans="1:13">
      <c r="A13" s="9"/>
      <c r="B13" s="5"/>
      <c r="C13" s="13"/>
      <c r="D13" s="5"/>
      <c r="E13" s="13"/>
      <c r="F13" s="5"/>
      <c r="G13" s="13"/>
      <c r="H13" s="5"/>
      <c r="I13" s="5"/>
      <c r="J13" s="5"/>
      <c r="K13" s="5"/>
      <c r="L13" s="5"/>
      <c r="M13" s="5"/>
    </row>
    <row r="14" spans="1:13">
      <c r="A14" s="9"/>
      <c r="B14" s="5"/>
      <c r="C14" s="13"/>
      <c r="D14" s="5"/>
      <c r="E14" s="13"/>
      <c r="F14" s="5"/>
      <c r="G14" s="13"/>
      <c r="H14" s="5"/>
      <c r="I14" s="5"/>
      <c r="J14" s="5"/>
      <c r="K14" s="5"/>
      <c r="L14" s="5"/>
      <c r="M14" s="5"/>
    </row>
    <row r="15" spans="1:13">
      <c r="A15" s="9"/>
      <c r="B15" s="5"/>
      <c r="C15" s="13"/>
      <c r="D15" s="5"/>
      <c r="E15" s="13"/>
      <c r="F15" s="5"/>
      <c r="G15" s="13"/>
      <c r="H15" s="5"/>
      <c r="I15" s="5"/>
      <c r="J15" s="5"/>
      <c r="K15" s="5"/>
      <c r="L15" s="5"/>
      <c r="M15" s="5"/>
    </row>
    <row r="16" spans="1:13">
      <c r="A16" s="9"/>
      <c r="B16" s="5"/>
      <c r="C16" s="13"/>
      <c r="D16" s="5"/>
      <c r="E16" s="13"/>
      <c r="F16" s="5"/>
      <c r="G16" s="13"/>
      <c r="H16" s="5"/>
      <c r="I16" s="5"/>
      <c r="J16" s="5"/>
      <c r="K16" s="5"/>
      <c r="L16" s="5"/>
      <c r="M16" s="5"/>
    </row>
    <row r="17" spans="1:13">
      <c r="A17" s="9"/>
      <c r="B17" s="5"/>
      <c r="C17" s="13"/>
      <c r="D17" s="5"/>
      <c r="E17" s="13"/>
      <c r="F17" s="5"/>
      <c r="G17" s="13"/>
      <c r="H17" s="5"/>
      <c r="I17" s="5"/>
      <c r="J17" s="5"/>
      <c r="K17" s="5"/>
      <c r="L17" s="5"/>
      <c r="M17" s="5"/>
    </row>
    <row r="18" spans="1:13">
      <c r="A18" s="9"/>
      <c r="B18" s="5"/>
      <c r="C18" s="13"/>
      <c r="D18" s="5"/>
      <c r="E18" s="13"/>
      <c r="F18" s="5"/>
      <c r="G18" s="13"/>
      <c r="H18" s="5"/>
      <c r="I18" s="5"/>
      <c r="J18" s="5"/>
      <c r="K18" s="5"/>
      <c r="L18" s="5"/>
      <c r="M18" s="5"/>
    </row>
    <row r="19" spans="1:13">
      <c r="A19" s="9"/>
      <c r="B19" s="5"/>
      <c r="C19" s="13"/>
      <c r="D19" s="5"/>
      <c r="E19" s="13"/>
      <c r="F19" s="5"/>
      <c r="G19" s="13"/>
      <c r="H19" s="5"/>
      <c r="I19" s="5"/>
      <c r="J19" s="5"/>
      <c r="K19" s="5"/>
      <c r="L19" s="5"/>
      <c r="M19" s="5"/>
    </row>
    <row r="20" spans="1:13">
      <c r="A20" s="9"/>
      <c r="B20" s="5"/>
      <c r="C20" s="13"/>
      <c r="D20" s="5"/>
      <c r="E20" s="13"/>
      <c r="F20" s="5"/>
      <c r="G20" s="13"/>
      <c r="H20" s="5"/>
      <c r="I20" s="5"/>
      <c r="J20" s="5"/>
      <c r="K20" s="5"/>
      <c r="L20" s="5"/>
      <c r="M20" s="5"/>
    </row>
    <row r="21" spans="1:13">
      <c r="A21" s="9"/>
      <c r="B21" s="5"/>
      <c r="C21" s="13"/>
      <c r="D21" s="5"/>
      <c r="E21" s="13"/>
      <c r="F21" s="5"/>
      <c r="G21" s="13"/>
      <c r="H21" s="5"/>
      <c r="I21" s="5"/>
      <c r="J21" s="5"/>
      <c r="K21" s="5"/>
      <c r="L21" s="5"/>
      <c r="M21" s="5"/>
    </row>
    <row r="22" spans="1:13">
      <c r="A22" s="9"/>
      <c r="B22" s="5"/>
      <c r="C22" s="13"/>
      <c r="D22" s="5"/>
      <c r="E22" s="13"/>
      <c r="F22" s="5"/>
      <c r="G22" s="13"/>
      <c r="H22" s="5"/>
      <c r="I22" s="5"/>
      <c r="J22" s="5"/>
      <c r="K22" s="5"/>
      <c r="L22" s="5"/>
      <c r="M22" s="5"/>
    </row>
    <row r="23" spans="1:13">
      <c r="A23" s="9"/>
      <c r="B23" s="5"/>
      <c r="C23" s="13"/>
      <c r="D23" s="5"/>
      <c r="E23" s="13"/>
      <c r="F23" s="5"/>
      <c r="G23" s="13"/>
      <c r="H23" s="5"/>
      <c r="I23" s="5"/>
      <c r="J23" s="5"/>
      <c r="K23" s="5"/>
      <c r="L23" s="5"/>
      <c r="M23" s="5"/>
    </row>
    <row r="24" spans="1:13">
      <c r="A24" s="9"/>
      <c r="B24" s="5"/>
      <c r="C24" s="13"/>
      <c r="D24" s="5"/>
      <c r="E24" s="13"/>
      <c r="F24" s="5"/>
      <c r="G24" s="13"/>
      <c r="H24" s="5"/>
      <c r="I24" s="5"/>
      <c r="J24" s="5"/>
      <c r="K24" s="5"/>
      <c r="L24" s="5"/>
      <c r="M24" s="5"/>
    </row>
    <row r="25" spans="1:13">
      <c r="A25" s="9"/>
      <c r="B25" s="5"/>
      <c r="C25" s="13"/>
      <c r="D25" s="5"/>
      <c r="E25" s="13"/>
      <c r="F25" s="5"/>
      <c r="G25" s="13"/>
      <c r="H25" s="5"/>
      <c r="I25" s="5"/>
      <c r="J25" s="5"/>
      <c r="K25" s="5"/>
      <c r="L25" s="5"/>
      <c r="M25" s="5"/>
    </row>
    <row r="26" spans="1:13">
      <c r="A26" s="9"/>
      <c r="B26" s="5"/>
      <c r="C26" s="13"/>
      <c r="D26" s="5"/>
      <c r="E26" s="13"/>
      <c r="F26" s="5"/>
      <c r="G26" s="13"/>
      <c r="H26" s="5"/>
      <c r="I26" s="5"/>
      <c r="J26" s="5"/>
      <c r="K26" s="5"/>
      <c r="L26" s="5"/>
      <c r="M26" s="5"/>
    </row>
    <row r="27" spans="1:13">
      <c r="A27" s="9"/>
      <c r="B27" s="5"/>
      <c r="C27" s="13"/>
      <c r="D27" s="5"/>
      <c r="E27" s="13"/>
      <c r="F27" s="5"/>
      <c r="G27" s="13"/>
      <c r="H27" s="5"/>
      <c r="I27" s="5"/>
      <c r="J27" s="5"/>
      <c r="K27" s="5"/>
      <c r="L27" s="5"/>
      <c r="M27" s="5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A0901A2-180C-4E7D-95DA-66E7088258C6}">
          <x14:formula1>
            <xm:f>Select!$A:$A</xm:f>
          </x14:formula1>
          <xm:sqref>B2:B1048576</xm:sqref>
        </x14:dataValidation>
        <x14:dataValidation type="list" allowBlank="1" showInputMessage="1" showErrorMessage="1" xr:uid="{6D25B85E-3F98-4AD2-9F6A-938890AC8B6D}">
          <x14:formula1>
            <xm:f>Select!$B:$B</xm:f>
          </x14:formula1>
          <xm:sqref>D2:D1048576</xm:sqref>
        </x14:dataValidation>
        <x14:dataValidation type="list" allowBlank="1" showInputMessage="1" showErrorMessage="1" xr:uid="{C3DBEF1F-74F9-454C-944E-EB27193EBDB8}">
          <x14:formula1>
            <xm:f>Select!$C:$C</xm:f>
          </x14:formula1>
          <xm:sqref>F2:F1048576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D8"/>
  <sheetViews>
    <sheetView workbookViewId="0">
      <selection activeCell="C4" sqref="C4"/>
    </sheetView>
  </sheetViews>
  <sheetFormatPr defaultRowHeight="18.75"/>
  <cols>
    <col min="1" max="1" width="10.375" bestFit="1" customWidth="1"/>
  </cols>
  <sheetData>
    <row r="1" spans="1:4">
      <c r="A1" t="s">
        <v>2</v>
      </c>
      <c r="B1" t="s">
        <v>15</v>
      </c>
      <c r="C1" t="s">
        <v>7</v>
      </c>
      <c r="D1">
        <v>0</v>
      </c>
    </row>
    <row r="2" spans="1:4">
      <c r="A2" t="s">
        <v>19</v>
      </c>
      <c r="B2" t="s">
        <v>16</v>
      </c>
      <c r="C2" t="s">
        <v>8</v>
      </c>
      <c r="D2">
        <v>1</v>
      </c>
    </row>
    <row r="3" spans="1:4">
      <c r="A3" t="s">
        <v>20</v>
      </c>
      <c r="B3" t="s">
        <v>17</v>
      </c>
      <c r="C3" t="s">
        <v>9</v>
      </c>
      <c r="D3">
        <v>2</v>
      </c>
    </row>
    <row r="4" spans="1:4">
      <c r="A4" t="s">
        <v>21</v>
      </c>
      <c r="B4" t="s">
        <v>18</v>
      </c>
      <c r="D4">
        <v>3</v>
      </c>
    </row>
    <row r="5" spans="1:4">
      <c r="A5" t="s">
        <v>0</v>
      </c>
      <c r="D5">
        <v>4</v>
      </c>
    </row>
    <row r="6" spans="1:4">
      <c r="A6" t="s">
        <v>22</v>
      </c>
      <c r="D6">
        <v>5</v>
      </c>
    </row>
    <row r="7" spans="1:4">
      <c r="A7" t="s">
        <v>23</v>
      </c>
      <c r="D7">
        <v>6</v>
      </c>
    </row>
    <row r="8" spans="1:4">
      <c r="A8" t="s">
        <v>24</v>
      </c>
      <c r="D8">
        <v>7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CardData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2025-10-03T03:56:44Z</dcterms:modified>
</cp:coreProperties>
</file>