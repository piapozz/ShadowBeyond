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Unitydata\ShadowBeyond\Assets\Resources\MasterData\"/>
    </mc:Choice>
  </mc:AlternateContent>
  <xr:revisionPtr revIDLastSave="0" documentId="13_ncr:1_{228F691C-6B51-4F87-858F-56A07B0FABF8}" xr6:coauthVersionLast="47" xr6:coauthVersionMax="47" xr10:uidLastSave="{00000000-0000-0000-0000-000000000000}"/>
  <bookViews>
    <workbookView xWindow="-120" yWindow="-120" windowWidth="29040" windowHeight="15720" tabRatio="1000" activeTab="4" xr2:uid="{00000000-000D-0000-FFFF-FFFF00000000}"/>
  </bookViews>
  <sheets>
    <sheet name="BasicBeyond" sheetId="4" r:id="rId1"/>
    <sheet name="LegendsRise" sheetId="5" r:id="rId2"/>
    <sheet name="InfinityEvolved" sheetId="7" r:id="rId3"/>
    <sheet name="HeirsOfTheOmen" sheetId="9" r:id="rId4"/>
    <sheet name="SkyboundDragons" sheetId="11" r:id="rId5"/>
    <sheet name="Basic" sheetId="13" r:id="rId6"/>
    <sheet name="CLC" sheetId="14" r:id="rId7"/>
    <sheet name="DRK" sheetId="15" r:id="rId8"/>
    <sheet name="ROB" sheetId="16" r:id="rId9"/>
    <sheet name="TOG" sheetId="17" r:id="rId10"/>
    <sheet name="WLD" sheetId="18" r:id="rId11"/>
    <sheet name="ORS" sheetId="45" r:id="rId12"/>
    <sheet name="メモ" sheetId="3" r:id="rId13"/>
    <sheet name="Select" sheetId="2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8" i="4" l="1"/>
  <c r="O69" i="4"/>
  <c r="O70" i="4"/>
  <c r="O71" i="4"/>
  <c r="O72" i="4"/>
  <c r="O73" i="4"/>
  <c r="O74" i="4"/>
  <c r="O75" i="4"/>
  <c r="O76" i="4"/>
  <c r="O77" i="4"/>
  <c r="G68" i="4"/>
  <c r="G69" i="4"/>
  <c r="G70" i="4"/>
  <c r="G71" i="4"/>
  <c r="G72" i="4"/>
  <c r="G73" i="4"/>
  <c r="G74" i="4"/>
  <c r="G75" i="4"/>
  <c r="G76" i="4"/>
  <c r="G77" i="4"/>
  <c r="E68" i="4"/>
  <c r="E69" i="4"/>
  <c r="E70" i="4"/>
  <c r="E71" i="4"/>
  <c r="E72" i="4"/>
  <c r="E73" i="4"/>
  <c r="E74" i="4"/>
  <c r="E75" i="4"/>
  <c r="E76" i="4"/>
  <c r="E77" i="4"/>
  <c r="C68" i="4"/>
  <c r="C69" i="4"/>
  <c r="C70" i="4"/>
  <c r="C71" i="4"/>
  <c r="C72" i="4"/>
  <c r="C73" i="4"/>
  <c r="C74" i="4"/>
  <c r="C75" i="4"/>
  <c r="C76" i="4"/>
  <c r="C77" i="4"/>
  <c r="O120" i="45"/>
  <c r="G120" i="45"/>
  <c r="E120" i="45"/>
  <c r="C120" i="45"/>
  <c r="O119" i="45"/>
  <c r="G119" i="45"/>
  <c r="E119" i="45"/>
  <c r="C119" i="45"/>
  <c r="O118" i="45"/>
  <c r="G118" i="45"/>
  <c r="E118" i="45"/>
  <c r="C118" i="45"/>
  <c r="O117" i="45"/>
  <c r="G117" i="45"/>
  <c r="E117" i="45"/>
  <c r="C117" i="45"/>
  <c r="O116" i="45"/>
  <c r="G116" i="45"/>
  <c r="E116" i="45"/>
  <c r="C116" i="45"/>
  <c r="O115" i="45"/>
  <c r="G115" i="45"/>
  <c r="E115" i="45"/>
  <c r="C115" i="45"/>
  <c r="O114" i="45"/>
  <c r="G114" i="45"/>
  <c r="E114" i="45"/>
  <c r="C114" i="45"/>
  <c r="O113" i="45"/>
  <c r="G113" i="45"/>
  <c r="E113" i="45"/>
  <c r="C113" i="45"/>
  <c r="O112" i="45"/>
  <c r="G112" i="45"/>
  <c r="E112" i="45"/>
  <c r="C112" i="45"/>
  <c r="O111" i="45"/>
  <c r="G111" i="45"/>
  <c r="E111" i="45"/>
  <c r="C111" i="45"/>
  <c r="O110" i="45"/>
  <c r="G110" i="45"/>
  <c r="E110" i="45"/>
  <c r="C110" i="45"/>
  <c r="O109" i="45"/>
  <c r="G109" i="45"/>
  <c r="E109" i="45"/>
  <c r="C109" i="45"/>
  <c r="O108" i="45"/>
  <c r="G108" i="45"/>
  <c r="E108" i="45"/>
  <c r="C108" i="45"/>
  <c r="O107" i="45"/>
  <c r="G107" i="45"/>
  <c r="E107" i="45"/>
  <c r="C107" i="45"/>
  <c r="O106" i="45"/>
  <c r="G106" i="45"/>
  <c r="E106" i="45"/>
  <c r="C106" i="45"/>
  <c r="O105" i="45"/>
  <c r="G105" i="45"/>
  <c r="E105" i="45"/>
  <c r="C105" i="45"/>
  <c r="O104" i="45"/>
  <c r="G104" i="45"/>
  <c r="E104" i="45"/>
  <c r="C104" i="45"/>
  <c r="O103" i="45"/>
  <c r="G103" i="45"/>
  <c r="E103" i="45"/>
  <c r="C103" i="45"/>
  <c r="O102" i="45"/>
  <c r="G102" i="45"/>
  <c r="E102" i="45"/>
  <c r="C102" i="45"/>
  <c r="O101" i="45"/>
  <c r="G101" i="45"/>
  <c r="E101" i="45"/>
  <c r="C101" i="45"/>
  <c r="O100" i="45"/>
  <c r="G100" i="45"/>
  <c r="E100" i="45"/>
  <c r="C100" i="45"/>
  <c r="O99" i="45"/>
  <c r="G99" i="45"/>
  <c r="E99" i="45"/>
  <c r="C99" i="45"/>
  <c r="O98" i="45"/>
  <c r="G98" i="45"/>
  <c r="E98" i="45"/>
  <c r="C98" i="45"/>
  <c r="O97" i="45"/>
  <c r="G97" i="45"/>
  <c r="E97" i="45"/>
  <c r="C97" i="45"/>
  <c r="O96" i="45"/>
  <c r="G96" i="45"/>
  <c r="E96" i="45"/>
  <c r="C96" i="45"/>
  <c r="O95" i="45"/>
  <c r="G95" i="45"/>
  <c r="E95" i="45"/>
  <c r="C95" i="45"/>
  <c r="O94" i="45"/>
  <c r="G94" i="45"/>
  <c r="E94" i="45"/>
  <c r="C94" i="45"/>
  <c r="O93" i="45"/>
  <c r="G93" i="45"/>
  <c r="E93" i="45"/>
  <c r="C93" i="45"/>
  <c r="O92" i="45"/>
  <c r="G92" i="45"/>
  <c r="E92" i="45"/>
  <c r="C92" i="45"/>
  <c r="O91" i="45"/>
  <c r="G91" i="45"/>
  <c r="E91" i="45"/>
  <c r="C91" i="45"/>
  <c r="O90" i="45"/>
  <c r="G90" i="45"/>
  <c r="E90" i="45"/>
  <c r="C90" i="45"/>
  <c r="O89" i="45"/>
  <c r="G89" i="45"/>
  <c r="E89" i="45"/>
  <c r="C89" i="45"/>
  <c r="O88" i="45"/>
  <c r="G88" i="45"/>
  <c r="E88" i="45"/>
  <c r="C88" i="45"/>
  <c r="O87" i="45"/>
  <c r="G87" i="45"/>
  <c r="E87" i="45"/>
  <c r="C87" i="45"/>
  <c r="O86" i="45"/>
  <c r="G86" i="45"/>
  <c r="E86" i="45"/>
  <c r="C86" i="45"/>
  <c r="O85" i="45"/>
  <c r="G85" i="45"/>
  <c r="E85" i="45"/>
  <c r="C85" i="45"/>
  <c r="O84" i="45"/>
  <c r="G84" i="45"/>
  <c r="E84" i="45"/>
  <c r="C84" i="45"/>
  <c r="O83" i="45"/>
  <c r="G83" i="45"/>
  <c r="E83" i="45"/>
  <c r="C83" i="45"/>
  <c r="O82" i="45"/>
  <c r="G82" i="45"/>
  <c r="E82" i="45"/>
  <c r="C82" i="45"/>
  <c r="O81" i="45"/>
  <c r="G81" i="45"/>
  <c r="E81" i="45"/>
  <c r="C81" i="45"/>
  <c r="O80" i="45"/>
  <c r="G80" i="45"/>
  <c r="E80" i="45"/>
  <c r="C80" i="45"/>
  <c r="O79" i="45"/>
  <c r="G79" i="45"/>
  <c r="E79" i="45"/>
  <c r="C79" i="45"/>
  <c r="O78" i="45"/>
  <c r="G78" i="45"/>
  <c r="E78" i="45"/>
  <c r="C78" i="45"/>
  <c r="O77" i="45"/>
  <c r="G77" i="45"/>
  <c r="E77" i="45"/>
  <c r="C77" i="45"/>
  <c r="O76" i="45"/>
  <c r="G76" i="45"/>
  <c r="E76" i="45"/>
  <c r="C76" i="45"/>
  <c r="O75" i="45"/>
  <c r="G75" i="45"/>
  <c r="E75" i="45"/>
  <c r="C75" i="45"/>
  <c r="O74" i="45"/>
  <c r="G74" i="45"/>
  <c r="E74" i="45"/>
  <c r="C74" i="45"/>
  <c r="O73" i="45"/>
  <c r="G73" i="45"/>
  <c r="E73" i="45"/>
  <c r="C73" i="45"/>
  <c r="O72" i="45"/>
  <c r="G72" i="45"/>
  <c r="E72" i="45"/>
  <c r="C72" i="45"/>
  <c r="O71" i="45"/>
  <c r="G71" i="45"/>
  <c r="E71" i="45"/>
  <c r="C71" i="45"/>
  <c r="O70" i="45"/>
  <c r="G70" i="45"/>
  <c r="E70" i="45"/>
  <c r="C70" i="45"/>
  <c r="O69" i="45"/>
  <c r="G69" i="45"/>
  <c r="E69" i="45"/>
  <c r="C69" i="45"/>
  <c r="O68" i="45"/>
  <c r="G68" i="45"/>
  <c r="E68" i="45"/>
  <c r="C68" i="45"/>
  <c r="O67" i="45"/>
  <c r="G67" i="45"/>
  <c r="E67" i="45"/>
  <c r="C67" i="45"/>
  <c r="O66" i="45"/>
  <c r="G66" i="45"/>
  <c r="E66" i="45"/>
  <c r="C66" i="45"/>
  <c r="O65" i="45"/>
  <c r="G65" i="45"/>
  <c r="E65" i="45"/>
  <c r="C65" i="45"/>
  <c r="O64" i="45"/>
  <c r="G64" i="45"/>
  <c r="E64" i="45"/>
  <c r="C64" i="45"/>
  <c r="O63" i="45"/>
  <c r="G63" i="45"/>
  <c r="E63" i="45"/>
  <c r="C63" i="45"/>
  <c r="O62" i="45"/>
  <c r="G62" i="45"/>
  <c r="E62" i="45"/>
  <c r="C62" i="45"/>
  <c r="O61" i="45"/>
  <c r="G61" i="45"/>
  <c r="E61" i="45"/>
  <c r="C61" i="45"/>
  <c r="O60" i="45"/>
  <c r="G60" i="45"/>
  <c r="E60" i="45"/>
  <c r="C60" i="45"/>
  <c r="O59" i="45"/>
  <c r="G59" i="45"/>
  <c r="E59" i="45"/>
  <c r="C59" i="45"/>
  <c r="O58" i="45"/>
  <c r="G58" i="45"/>
  <c r="E58" i="45"/>
  <c r="C58" i="45"/>
  <c r="O57" i="45"/>
  <c r="G57" i="45"/>
  <c r="E57" i="45"/>
  <c r="C57" i="45"/>
  <c r="O56" i="45"/>
  <c r="G56" i="45"/>
  <c r="E56" i="45"/>
  <c r="C56" i="45"/>
  <c r="O55" i="45"/>
  <c r="G55" i="45"/>
  <c r="E55" i="45"/>
  <c r="C55" i="45"/>
  <c r="O54" i="45"/>
  <c r="G54" i="45"/>
  <c r="E54" i="45"/>
  <c r="C54" i="45"/>
  <c r="O53" i="45"/>
  <c r="G53" i="45"/>
  <c r="E53" i="45"/>
  <c r="C53" i="45"/>
  <c r="O52" i="45"/>
  <c r="G52" i="45"/>
  <c r="E52" i="45"/>
  <c r="C52" i="45"/>
  <c r="O51" i="45"/>
  <c r="G51" i="45"/>
  <c r="E51" i="45"/>
  <c r="C51" i="45"/>
  <c r="O50" i="45"/>
  <c r="G50" i="45"/>
  <c r="E50" i="45"/>
  <c r="C50" i="45"/>
  <c r="O49" i="45"/>
  <c r="G49" i="45"/>
  <c r="E49" i="45"/>
  <c r="C49" i="45"/>
  <c r="O48" i="45"/>
  <c r="G48" i="45"/>
  <c r="E48" i="45"/>
  <c r="C48" i="45"/>
  <c r="O47" i="45"/>
  <c r="G47" i="45"/>
  <c r="E47" i="45"/>
  <c r="C47" i="45"/>
  <c r="O46" i="45"/>
  <c r="G46" i="45"/>
  <c r="E46" i="45"/>
  <c r="C46" i="45"/>
  <c r="O45" i="45"/>
  <c r="G45" i="45"/>
  <c r="E45" i="45"/>
  <c r="C45" i="45"/>
  <c r="O44" i="45"/>
  <c r="G44" i="45"/>
  <c r="E44" i="45"/>
  <c r="C44" i="45"/>
  <c r="O43" i="45"/>
  <c r="G43" i="45"/>
  <c r="E43" i="45"/>
  <c r="C43" i="45"/>
  <c r="O42" i="45"/>
  <c r="G42" i="45"/>
  <c r="E42" i="45"/>
  <c r="C42" i="45"/>
  <c r="O41" i="45"/>
  <c r="G41" i="45"/>
  <c r="E41" i="45"/>
  <c r="C41" i="45"/>
  <c r="O40" i="45"/>
  <c r="G40" i="45"/>
  <c r="E40" i="45"/>
  <c r="C40" i="45"/>
  <c r="O39" i="45"/>
  <c r="G39" i="45"/>
  <c r="E39" i="45"/>
  <c r="C39" i="45"/>
  <c r="O38" i="45"/>
  <c r="G38" i="45"/>
  <c r="E38" i="45"/>
  <c r="C38" i="45"/>
  <c r="O37" i="45"/>
  <c r="G37" i="45"/>
  <c r="E37" i="45"/>
  <c r="C37" i="45"/>
  <c r="O36" i="45"/>
  <c r="G36" i="45"/>
  <c r="E36" i="45"/>
  <c r="C36" i="45"/>
  <c r="O35" i="45"/>
  <c r="G35" i="45"/>
  <c r="E35" i="45"/>
  <c r="C35" i="45"/>
  <c r="O34" i="45"/>
  <c r="G34" i="45"/>
  <c r="E34" i="45"/>
  <c r="C34" i="45"/>
  <c r="O33" i="45"/>
  <c r="G33" i="45"/>
  <c r="E33" i="45"/>
  <c r="C33" i="45"/>
  <c r="O32" i="45"/>
  <c r="G32" i="45"/>
  <c r="E32" i="45"/>
  <c r="C32" i="45"/>
  <c r="O31" i="45"/>
  <c r="G31" i="45"/>
  <c r="E31" i="45"/>
  <c r="C31" i="45"/>
  <c r="O30" i="45"/>
  <c r="G30" i="45"/>
  <c r="E30" i="45"/>
  <c r="C30" i="45"/>
  <c r="O29" i="45"/>
  <c r="G29" i="45"/>
  <c r="E29" i="45"/>
  <c r="C29" i="45"/>
  <c r="O28" i="45"/>
  <c r="G28" i="45"/>
  <c r="E28" i="45"/>
  <c r="C28" i="45"/>
  <c r="O27" i="45"/>
  <c r="G27" i="45"/>
  <c r="E27" i="45"/>
  <c r="C27" i="45"/>
  <c r="O26" i="45"/>
  <c r="G26" i="45"/>
  <c r="E26" i="45"/>
  <c r="C26" i="45"/>
  <c r="O25" i="45"/>
  <c r="G25" i="45"/>
  <c r="E25" i="45"/>
  <c r="C25" i="45"/>
  <c r="O24" i="45"/>
  <c r="G24" i="45"/>
  <c r="E24" i="45"/>
  <c r="C24" i="45"/>
  <c r="O23" i="45"/>
  <c r="G23" i="45"/>
  <c r="E23" i="45"/>
  <c r="C23" i="45"/>
  <c r="O22" i="45"/>
  <c r="G22" i="45"/>
  <c r="E22" i="45"/>
  <c r="C22" i="45"/>
  <c r="O21" i="45"/>
  <c r="G21" i="45"/>
  <c r="E21" i="45"/>
  <c r="C21" i="45"/>
  <c r="O20" i="45"/>
  <c r="G20" i="45"/>
  <c r="E20" i="45"/>
  <c r="C20" i="45"/>
  <c r="O19" i="45"/>
  <c r="G19" i="45"/>
  <c r="E19" i="45"/>
  <c r="C19" i="45"/>
  <c r="O18" i="45"/>
  <c r="G18" i="45"/>
  <c r="E18" i="45"/>
  <c r="C18" i="45"/>
  <c r="O17" i="45"/>
  <c r="G17" i="45"/>
  <c r="E17" i="45"/>
  <c r="C17" i="45"/>
  <c r="O16" i="45"/>
  <c r="G16" i="45"/>
  <c r="E16" i="45"/>
  <c r="C16" i="45"/>
  <c r="O15" i="45"/>
  <c r="G15" i="45"/>
  <c r="E15" i="45"/>
  <c r="C15" i="45"/>
  <c r="O14" i="45"/>
  <c r="G14" i="45"/>
  <c r="E14" i="45"/>
  <c r="C14" i="45"/>
  <c r="O13" i="45"/>
  <c r="G13" i="45"/>
  <c r="E13" i="45"/>
  <c r="C13" i="45"/>
  <c r="O12" i="45"/>
  <c r="G12" i="45"/>
  <c r="E12" i="45"/>
  <c r="C12" i="45"/>
  <c r="O11" i="45"/>
  <c r="G11" i="45"/>
  <c r="E11" i="45"/>
  <c r="C11" i="45"/>
  <c r="O10" i="45"/>
  <c r="G10" i="45"/>
  <c r="E10" i="45"/>
  <c r="C10" i="45"/>
  <c r="O9" i="45"/>
  <c r="G9" i="45"/>
  <c r="E9" i="45"/>
  <c r="C9" i="45"/>
  <c r="O8" i="45"/>
  <c r="G8" i="45"/>
  <c r="E8" i="45"/>
  <c r="C8" i="45"/>
  <c r="O7" i="45"/>
  <c r="G7" i="45"/>
  <c r="E7" i="45"/>
  <c r="C7" i="45"/>
  <c r="O6" i="45"/>
  <c r="G6" i="45"/>
  <c r="E6" i="45"/>
  <c r="C6" i="45"/>
  <c r="O5" i="45"/>
  <c r="G5" i="45"/>
  <c r="E5" i="45"/>
  <c r="C5" i="45"/>
  <c r="O4" i="45"/>
  <c r="G4" i="45"/>
  <c r="E4" i="45"/>
  <c r="C4" i="45"/>
  <c r="O3" i="45"/>
  <c r="G3" i="45"/>
  <c r="E3" i="45"/>
  <c r="C3" i="45"/>
  <c r="O2" i="45"/>
  <c r="G2" i="45"/>
  <c r="E2" i="45"/>
  <c r="C2" i="45"/>
  <c r="O109" i="18"/>
  <c r="G109" i="18"/>
  <c r="E109" i="18"/>
  <c r="C109" i="18"/>
  <c r="O108" i="18"/>
  <c r="G108" i="18"/>
  <c r="E108" i="18"/>
  <c r="C108" i="18"/>
  <c r="O107" i="18"/>
  <c r="G107" i="18"/>
  <c r="E107" i="18"/>
  <c r="C107" i="18"/>
  <c r="O106" i="18"/>
  <c r="G106" i="18"/>
  <c r="E106" i="18"/>
  <c r="C106" i="18"/>
  <c r="O105" i="18"/>
  <c r="G105" i="18"/>
  <c r="E105" i="18"/>
  <c r="C105" i="18"/>
  <c r="O104" i="18"/>
  <c r="G104" i="18"/>
  <c r="E104" i="18"/>
  <c r="C104" i="18"/>
  <c r="O103" i="18"/>
  <c r="G103" i="18"/>
  <c r="E103" i="18"/>
  <c r="C103" i="18"/>
  <c r="O102" i="18"/>
  <c r="G102" i="18"/>
  <c r="E102" i="18"/>
  <c r="C102" i="18"/>
  <c r="O101" i="18"/>
  <c r="G101" i="18"/>
  <c r="E101" i="18"/>
  <c r="C101" i="18"/>
  <c r="O100" i="18"/>
  <c r="G100" i="18"/>
  <c r="E100" i="18"/>
  <c r="C100" i="18"/>
  <c r="O99" i="18"/>
  <c r="G99" i="18"/>
  <c r="E99" i="18"/>
  <c r="C99" i="18"/>
  <c r="O98" i="18"/>
  <c r="G98" i="18"/>
  <c r="E98" i="18"/>
  <c r="C98" i="18"/>
  <c r="O97" i="18"/>
  <c r="G97" i="18"/>
  <c r="E97" i="18"/>
  <c r="C97" i="18"/>
  <c r="O96" i="18"/>
  <c r="G96" i="18"/>
  <c r="E96" i="18"/>
  <c r="C96" i="18"/>
  <c r="O95" i="18"/>
  <c r="G95" i="18"/>
  <c r="E95" i="18"/>
  <c r="C95" i="18"/>
  <c r="O94" i="18"/>
  <c r="G94" i="18"/>
  <c r="E94" i="18"/>
  <c r="C94" i="18"/>
  <c r="O93" i="18"/>
  <c r="G93" i="18"/>
  <c r="E93" i="18"/>
  <c r="C93" i="18"/>
  <c r="O92" i="18"/>
  <c r="G92" i="18"/>
  <c r="E92" i="18"/>
  <c r="C92" i="18"/>
  <c r="O91" i="18"/>
  <c r="G91" i="18"/>
  <c r="E91" i="18"/>
  <c r="C91" i="18"/>
  <c r="O90" i="18"/>
  <c r="G90" i="18"/>
  <c r="E90" i="18"/>
  <c r="C90" i="18"/>
  <c r="O89" i="18"/>
  <c r="G89" i="18"/>
  <c r="E89" i="18"/>
  <c r="C89" i="18"/>
  <c r="O88" i="18"/>
  <c r="G88" i="18"/>
  <c r="E88" i="18"/>
  <c r="C88" i="18"/>
  <c r="O87" i="18"/>
  <c r="G87" i="18"/>
  <c r="E87" i="18"/>
  <c r="C87" i="18"/>
  <c r="O86" i="18"/>
  <c r="G86" i="18"/>
  <c r="E86" i="18"/>
  <c r="C86" i="18"/>
  <c r="O85" i="18"/>
  <c r="G85" i="18"/>
  <c r="E85" i="18"/>
  <c r="C85" i="18"/>
  <c r="O84" i="18"/>
  <c r="G84" i="18"/>
  <c r="E84" i="18"/>
  <c r="C84" i="18"/>
  <c r="O83" i="18"/>
  <c r="G83" i="18"/>
  <c r="E83" i="18"/>
  <c r="C83" i="18"/>
  <c r="O82" i="18"/>
  <c r="G82" i="18"/>
  <c r="E82" i="18"/>
  <c r="C82" i="18"/>
  <c r="O81" i="18"/>
  <c r="G81" i="18"/>
  <c r="E81" i="18"/>
  <c r="C81" i="18"/>
  <c r="O80" i="18"/>
  <c r="G80" i="18"/>
  <c r="E80" i="18"/>
  <c r="C80" i="18"/>
  <c r="O79" i="18"/>
  <c r="G79" i="18"/>
  <c r="E79" i="18"/>
  <c r="C79" i="18"/>
  <c r="O78" i="18"/>
  <c r="G78" i="18"/>
  <c r="E78" i="18"/>
  <c r="C78" i="18"/>
  <c r="O77" i="18"/>
  <c r="G77" i="18"/>
  <c r="E77" i="18"/>
  <c r="C77" i="18"/>
  <c r="O76" i="18"/>
  <c r="G76" i="18"/>
  <c r="E76" i="18"/>
  <c r="C76" i="18"/>
  <c r="O75" i="18"/>
  <c r="G75" i="18"/>
  <c r="E75" i="18"/>
  <c r="C75" i="18"/>
  <c r="O74" i="18"/>
  <c r="G74" i="18"/>
  <c r="E74" i="18"/>
  <c r="C74" i="18"/>
  <c r="O73" i="18"/>
  <c r="G73" i="18"/>
  <c r="E73" i="18"/>
  <c r="C73" i="18"/>
  <c r="O72" i="18"/>
  <c r="G72" i="18"/>
  <c r="E72" i="18"/>
  <c r="C72" i="18"/>
  <c r="O71" i="18"/>
  <c r="G71" i="18"/>
  <c r="E71" i="18"/>
  <c r="C71" i="18"/>
  <c r="O70" i="18"/>
  <c r="G70" i="18"/>
  <c r="E70" i="18"/>
  <c r="C70" i="18"/>
  <c r="O69" i="18"/>
  <c r="G69" i="18"/>
  <c r="E69" i="18"/>
  <c r="C69" i="18"/>
  <c r="O68" i="18"/>
  <c r="G68" i="18"/>
  <c r="E68" i="18"/>
  <c r="C68" i="18"/>
  <c r="O67" i="18"/>
  <c r="G67" i="18"/>
  <c r="E67" i="18"/>
  <c r="C67" i="18"/>
  <c r="O66" i="18"/>
  <c r="G66" i="18"/>
  <c r="E66" i="18"/>
  <c r="C66" i="18"/>
  <c r="O65" i="18"/>
  <c r="G65" i="18"/>
  <c r="E65" i="18"/>
  <c r="C65" i="18"/>
  <c r="O64" i="18"/>
  <c r="G64" i="18"/>
  <c r="E64" i="18"/>
  <c r="C64" i="18"/>
  <c r="O63" i="18"/>
  <c r="G63" i="18"/>
  <c r="E63" i="18"/>
  <c r="C63" i="18"/>
  <c r="O62" i="18"/>
  <c r="G62" i="18"/>
  <c r="E62" i="18"/>
  <c r="C62" i="18"/>
  <c r="O61" i="18"/>
  <c r="G61" i="18"/>
  <c r="E61" i="18"/>
  <c r="C61" i="18"/>
  <c r="O60" i="18"/>
  <c r="G60" i="18"/>
  <c r="E60" i="18"/>
  <c r="C60" i="18"/>
  <c r="O59" i="18"/>
  <c r="G59" i="18"/>
  <c r="E59" i="18"/>
  <c r="C59" i="18"/>
  <c r="O58" i="18"/>
  <c r="G58" i="18"/>
  <c r="E58" i="18"/>
  <c r="C58" i="18"/>
  <c r="O57" i="18"/>
  <c r="G57" i="18"/>
  <c r="E57" i="18"/>
  <c r="C57" i="18"/>
  <c r="O56" i="18"/>
  <c r="G56" i="18"/>
  <c r="E56" i="18"/>
  <c r="C56" i="18"/>
  <c r="O55" i="18"/>
  <c r="G55" i="18"/>
  <c r="E55" i="18"/>
  <c r="C55" i="18"/>
  <c r="O54" i="18"/>
  <c r="G54" i="18"/>
  <c r="E54" i="18"/>
  <c r="C54" i="18"/>
  <c r="O53" i="18"/>
  <c r="G53" i="18"/>
  <c r="E53" i="18"/>
  <c r="C53" i="18"/>
  <c r="O52" i="18"/>
  <c r="G52" i="18"/>
  <c r="E52" i="18"/>
  <c r="C52" i="18"/>
  <c r="O51" i="18"/>
  <c r="G51" i="18"/>
  <c r="E51" i="18"/>
  <c r="C51" i="18"/>
  <c r="O50" i="18"/>
  <c r="G50" i="18"/>
  <c r="E50" i="18"/>
  <c r="C50" i="18"/>
  <c r="O49" i="18"/>
  <c r="G49" i="18"/>
  <c r="E49" i="18"/>
  <c r="C49" i="18"/>
  <c r="O48" i="18"/>
  <c r="G48" i="18"/>
  <c r="E48" i="18"/>
  <c r="C48" i="18"/>
  <c r="O47" i="18"/>
  <c r="G47" i="18"/>
  <c r="E47" i="18"/>
  <c r="C47" i="18"/>
  <c r="O46" i="18"/>
  <c r="G46" i="18"/>
  <c r="E46" i="18"/>
  <c r="C46" i="18"/>
  <c r="O45" i="18"/>
  <c r="G45" i="18"/>
  <c r="E45" i="18"/>
  <c r="C45" i="18"/>
  <c r="O44" i="18"/>
  <c r="G44" i="18"/>
  <c r="E44" i="18"/>
  <c r="C44" i="18"/>
  <c r="O43" i="18"/>
  <c r="G43" i="18"/>
  <c r="E43" i="18"/>
  <c r="C43" i="18"/>
  <c r="O42" i="18"/>
  <c r="G42" i="18"/>
  <c r="E42" i="18"/>
  <c r="C42" i="18"/>
  <c r="O41" i="18"/>
  <c r="G41" i="18"/>
  <c r="E41" i="18"/>
  <c r="C41" i="18"/>
  <c r="O40" i="18"/>
  <c r="G40" i="18"/>
  <c r="E40" i="18"/>
  <c r="C40" i="18"/>
  <c r="O39" i="18"/>
  <c r="G39" i="18"/>
  <c r="E39" i="18"/>
  <c r="C39" i="18"/>
  <c r="O38" i="18"/>
  <c r="G38" i="18"/>
  <c r="E38" i="18"/>
  <c r="C38" i="18"/>
  <c r="O37" i="18"/>
  <c r="G37" i="18"/>
  <c r="E37" i="18"/>
  <c r="C37" i="18"/>
  <c r="O36" i="18"/>
  <c r="G36" i="18"/>
  <c r="E36" i="18"/>
  <c r="C36" i="18"/>
  <c r="O35" i="18"/>
  <c r="G35" i="18"/>
  <c r="E35" i="18"/>
  <c r="C35" i="18"/>
  <c r="O34" i="18"/>
  <c r="G34" i="18"/>
  <c r="E34" i="18"/>
  <c r="C34" i="18"/>
  <c r="O33" i="18"/>
  <c r="G33" i="18"/>
  <c r="E33" i="18"/>
  <c r="C33" i="18"/>
  <c r="O32" i="18"/>
  <c r="G32" i="18"/>
  <c r="E32" i="18"/>
  <c r="C32" i="18"/>
  <c r="O31" i="18"/>
  <c r="G31" i="18"/>
  <c r="E31" i="18"/>
  <c r="C31" i="18"/>
  <c r="O30" i="18"/>
  <c r="G30" i="18"/>
  <c r="E30" i="18"/>
  <c r="C30" i="18"/>
  <c r="O29" i="18"/>
  <c r="G29" i="18"/>
  <c r="E29" i="18"/>
  <c r="C29" i="18"/>
  <c r="O28" i="18"/>
  <c r="G28" i="18"/>
  <c r="E28" i="18"/>
  <c r="C28" i="18"/>
  <c r="O27" i="18"/>
  <c r="G27" i="18"/>
  <c r="E27" i="18"/>
  <c r="C27" i="18"/>
  <c r="O26" i="18"/>
  <c r="G26" i="18"/>
  <c r="E26" i="18"/>
  <c r="C26" i="18"/>
  <c r="O25" i="18"/>
  <c r="G25" i="18"/>
  <c r="E25" i="18"/>
  <c r="C25" i="18"/>
  <c r="O24" i="18"/>
  <c r="G24" i="18"/>
  <c r="E24" i="18"/>
  <c r="C24" i="18"/>
  <c r="O23" i="18"/>
  <c r="G23" i="18"/>
  <c r="E23" i="18"/>
  <c r="C23" i="18"/>
  <c r="O22" i="18"/>
  <c r="G22" i="18"/>
  <c r="E22" i="18"/>
  <c r="C22" i="18"/>
  <c r="O21" i="18"/>
  <c r="G21" i="18"/>
  <c r="E21" i="18"/>
  <c r="C21" i="18"/>
  <c r="O20" i="18"/>
  <c r="G20" i="18"/>
  <c r="E20" i="18"/>
  <c r="C20" i="18"/>
  <c r="O19" i="18"/>
  <c r="G19" i="18"/>
  <c r="E19" i="18"/>
  <c r="C19" i="18"/>
  <c r="O18" i="18"/>
  <c r="G18" i="18"/>
  <c r="E18" i="18"/>
  <c r="C18" i="18"/>
  <c r="O17" i="18"/>
  <c r="G17" i="18"/>
  <c r="E17" i="18"/>
  <c r="C17" i="18"/>
  <c r="O16" i="18"/>
  <c r="G16" i="18"/>
  <c r="E16" i="18"/>
  <c r="C16" i="18"/>
  <c r="O15" i="18"/>
  <c r="G15" i="18"/>
  <c r="E15" i="18"/>
  <c r="C15" i="18"/>
  <c r="O14" i="18"/>
  <c r="G14" i="18"/>
  <c r="E14" i="18"/>
  <c r="C14" i="18"/>
  <c r="O13" i="18"/>
  <c r="G13" i="18"/>
  <c r="E13" i="18"/>
  <c r="C13" i="18"/>
  <c r="O12" i="18"/>
  <c r="G12" i="18"/>
  <c r="E12" i="18"/>
  <c r="C12" i="18"/>
  <c r="O11" i="18"/>
  <c r="G11" i="18"/>
  <c r="E11" i="18"/>
  <c r="C11" i="18"/>
  <c r="O10" i="18"/>
  <c r="G10" i="18"/>
  <c r="E10" i="18"/>
  <c r="C10" i="18"/>
  <c r="O9" i="18"/>
  <c r="G9" i="18"/>
  <c r="E9" i="18"/>
  <c r="C9" i="18"/>
  <c r="O8" i="18"/>
  <c r="G8" i="18"/>
  <c r="E8" i="18"/>
  <c r="C8" i="18"/>
  <c r="O7" i="18"/>
  <c r="G7" i="18"/>
  <c r="E7" i="18"/>
  <c r="C7" i="18"/>
  <c r="O6" i="18"/>
  <c r="G6" i="18"/>
  <c r="E6" i="18"/>
  <c r="C6" i="18"/>
  <c r="O5" i="18"/>
  <c r="G5" i="18"/>
  <c r="E5" i="18"/>
  <c r="C5" i="18"/>
  <c r="O4" i="18"/>
  <c r="G4" i="18"/>
  <c r="E4" i="18"/>
  <c r="C4" i="18"/>
  <c r="O3" i="18"/>
  <c r="G3" i="18"/>
  <c r="E3" i="18"/>
  <c r="C3" i="18"/>
  <c r="O2" i="18"/>
  <c r="G2" i="18"/>
  <c r="E2" i="18"/>
  <c r="C2" i="18"/>
  <c r="O108" i="17"/>
  <c r="G108" i="17"/>
  <c r="E108" i="17"/>
  <c r="C108" i="17"/>
  <c r="O107" i="17"/>
  <c r="G107" i="17"/>
  <c r="E107" i="17"/>
  <c r="C107" i="17"/>
  <c r="O106" i="17"/>
  <c r="G106" i="17"/>
  <c r="E106" i="17"/>
  <c r="C106" i="17"/>
  <c r="O105" i="17"/>
  <c r="G105" i="17"/>
  <c r="E105" i="17"/>
  <c r="C105" i="17"/>
  <c r="O104" i="17"/>
  <c r="G104" i="17"/>
  <c r="E104" i="17"/>
  <c r="C104" i="17"/>
  <c r="O103" i="17"/>
  <c r="G103" i="17"/>
  <c r="E103" i="17"/>
  <c r="C103" i="17"/>
  <c r="O102" i="17"/>
  <c r="G102" i="17"/>
  <c r="E102" i="17"/>
  <c r="C102" i="17"/>
  <c r="O101" i="17"/>
  <c r="G101" i="17"/>
  <c r="E101" i="17"/>
  <c r="C101" i="17"/>
  <c r="O100" i="17"/>
  <c r="G100" i="17"/>
  <c r="E100" i="17"/>
  <c r="C100" i="17"/>
  <c r="O99" i="17"/>
  <c r="G99" i="17"/>
  <c r="E99" i="17"/>
  <c r="C99" i="17"/>
  <c r="O98" i="17"/>
  <c r="G98" i="17"/>
  <c r="E98" i="17"/>
  <c r="C98" i="17"/>
  <c r="O97" i="17"/>
  <c r="G97" i="17"/>
  <c r="E97" i="17"/>
  <c r="C97" i="17"/>
  <c r="O96" i="17"/>
  <c r="G96" i="17"/>
  <c r="E96" i="17"/>
  <c r="C96" i="17"/>
  <c r="O95" i="17"/>
  <c r="G95" i="17"/>
  <c r="E95" i="17"/>
  <c r="C95" i="17"/>
  <c r="O94" i="17"/>
  <c r="G94" i="17"/>
  <c r="E94" i="17"/>
  <c r="C94" i="17"/>
  <c r="O93" i="17"/>
  <c r="G93" i="17"/>
  <c r="E93" i="17"/>
  <c r="C93" i="17"/>
  <c r="O92" i="17"/>
  <c r="G92" i="17"/>
  <c r="E92" i="17"/>
  <c r="C92" i="17"/>
  <c r="O91" i="17"/>
  <c r="G91" i="17"/>
  <c r="E91" i="17"/>
  <c r="C91" i="17"/>
  <c r="O90" i="17"/>
  <c r="G90" i="17"/>
  <c r="E90" i="17"/>
  <c r="C90" i="17"/>
  <c r="O89" i="17"/>
  <c r="G89" i="17"/>
  <c r="E89" i="17"/>
  <c r="C89" i="17"/>
  <c r="O88" i="17"/>
  <c r="G88" i="17"/>
  <c r="E88" i="17"/>
  <c r="C88" i="17"/>
  <c r="O87" i="17"/>
  <c r="G87" i="17"/>
  <c r="E87" i="17"/>
  <c r="C87" i="17"/>
  <c r="O86" i="17"/>
  <c r="G86" i="17"/>
  <c r="E86" i="17"/>
  <c r="C86" i="17"/>
  <c r="O85" i="17"/>
  <c r="G85" i="17"/>
  <c r="E85" i="17"/>
  <c r="C85" i="17"/>
  <c r="O84" i="17"/>
  <c r="G84" i="17"/>
  <c r="E84" i="17"/>
  <c r="C84" i="17"/>
  <c r="O83" i="17"/>
  <c r="G83" i="17"/>
  <c r="E83" i="17"/>
  <c r="C83" i="17"/>
  <c r="O82" i="17"/>
  <c r="G82" i="17"/>
  <c r="E82" i="17"/>
  <c r="C82" i="17"/>
  <c r="O81" i="17"/>
  <c r="G81" i="17"/>
  <c r="E81" i="17"/>
  <c r="C81" i="17"/>
  <c r="O80" i="17"/>
  <c r="G80" i="17"/>
  <c r="E80" i="17"/>
  <c r="C80" i="17"/>
  <c r="O79" i="17"/>
  <c r="G79" i="17"/>
  <c r="E79" i="17"/>
  <c r="C79" i="17"/>
  <c r="O78" i="17"/>
  <c r="G78" i="17"/>
  <c r="E78" i="17"/>
  <c r="C78" i="17"/>
  <c r="O77" i="17"/>
  <c r="G77" i="17"/>
  <c r="E77" i="17"/>
  <c r="C77" i="17"/>
  <c r="O76" i="17"/>
  <c r="G76" i="17"/>
  <c r="E76" i="17"/>
  <c r="C76" i="17"/>
  <c r="O75" i="17"/>
  <c r="G75" i="17"/>
  <c r="E75" i="17"/>
  <c r="C75" i="17"/>
  <c r="O74" i="17"/>
  <c r="G74" i="17"/>
  <c r="E74" i="17"/>
  <c r="C74" i="17"/>
  <c r="O73" i="17"/>
  <c r="G73" i="17"/>
  <c r="E73" i="17"/>
  <c r="C73" i="17"/>
  <c r="O72" i="17"/>
  <c r="G72" i="17"/>
  <c r="E72" i="17"/>
  <c r="C72" i="17"/>
  <c r="O71" i="17"/>
  <c r="G71" i="17"/>
  <c r="E71" i="17"/>
  <c r="C71" i="17"/>
  <c r="O70" i="17"/>
  <c r="G70" i="17"/>
  <c r="E70" i="17"/>
  <c r="C70" i="17"/>
  <c r="O69" i="17"/>
  <c r="G69" i="17"/>
  <c r="E69" i="17"/>
  <c r="C69" i="17"/>
  <c r="O68" i="17"/>
  <c r="G68" i="17"/>
  <c r="E68" i="17"/>
  <c r="C68" i="17"/>
  <c r="O67" i="17"/>
  <c r="G67" i="17"/>
  <c r="E67" i="17"/>
  <c r="C67" i="17"/>
  <c r="O66" i="17"/>
  <c r="G66" i="17"/>
  <c r="E66" i="17"/>
  <c r="C66" i="17"/>
  <c r="O65" i="17"/>
  <c r="G65" i="17"/>
  <c r="E65" i="17"/>
  <c r="C65" i="17"/>
  <c r="O64" i="17"/>
  <c r="G64" i="17"/>
  <c r="E64" i="17"/>
  <c r="C64" i="17"/>
  <c r="O63" i="17"/>
  <c r="G63" i="17"/>
  <c r="E63" i="17"/>
  <c r="C63" i="17"/>
  <c r="O62" i="17"/>
  <c r="G62" i="17"/>
  <c r="E62" i="17"/>
  <c r="C62" i="17"/>
  <c r="O61" i="17"/>
  <c r="G61" i="17"/>
  <c r="E61" i="17"/>
  <c r="C61" i="17"/>
  <c r="O60" i="17"/>
  <c r="G60" i="17"/>
  <c r="E60" i="17"/>
  <c r="C60" i="17"/>
  <c r="O59" i="17"/>
  <c r="G59" i="17"/>
  <c r="E59" i="17"/>
  <c r="C59" i="17"/>
  <c r="O58" i="17"/>
  <c r="G58" i="17"/>
  <c r="E58" i="17"/>
  <c r="C58" i="17"/>
  <c r="O57" i="17"/>
  <c r="G57" i="17"/>
  <c r="E57" i="17"/>
  <c r="C57" i="17"/>
  <c r="O56" i="17"/>
  <c r="G56" i="17"/>
  <c r="E56" i="17"/>
  <c r="C56" i="17"/>
  <c r="O55" i="17"/>
  <c r="G55" i="17"/>
  <c r="E55" i="17"/>
  <c r="C55" i="17"/>
  <c r="O54" i="17"/>
  <c r="G54" i="17"/>
  <c r="E54" i="17"/>
  <c r="C54" i="17"/>
  <c r="O53" i="17"/>
  <c r="G53" i="17"/>
  <c r="E53" i="17"/>
  <c r="C53" i="17"/>
  <c r="O52" i="17"/>
  <c r="G52" i="17"/>
  <c r="E52" i="17"/>
  <c r="C52" i="17"/>
  <c r="O51" i="17"/>
  <c r="G51" i="17"/>
  <c r="E51" i="17"/>
  <c r="C51" i="17"/>
  <c r="O50" i="17"/>
  <c r="G50" i="17"/>
  <c r="E50" i="17"/>
  <c r="C50" i="17"/>
  <c r="O49" i="17"/>
  <c r="G49" i="17"/>
  <c r="E49" i="17"/>
  <c r="C49" i="17"/>
  <c r="O48" i="17"/>
  <c r="G48" i="17"/>
  <c r="E48" i="17"/>
  <c r="C48" i="17"/>
  <c r="O47" i="17"/>
  <c r="G47" i="17"/>
  <c r="E47" i="17"/>
  <c r="C47" i="17"/>
  <c r="O46" i="17"/>
  <c r="G46" i="17"/>
  <c r="E46" i="17"/>
  <c r="C46" i="17"/>
  <c r="O45" i="17"/>
  <c r="G45" i="17"/>
  <c r="E45" i="17"/>
  <c r="C45" i="17"/>
  <c r="O44" i="17"/>
  <c r="G44" i="17"/>
  <c r="E44" i="17"/>
  <c r="C44" i="17"/>
  <c r="O43" i="17"/>
  <c r="G43" i="17"/>
  <c r="E43" i="17"/>
  <c r="C43" i="17"/>
  <c r="O42" i="17"/>
  <c r="G42" i="17"/>
  <c r="E42" i="17"/>
  <c r="C42" i="17"/>
  <c r="O41" i="17"/>
  <c r="G41" i="17"/>
  <c r="E41" i="17"/>
  <c r="C41" i="17"/>
  <c r="O40" i="17"/>
  <c r="G40" i="17"/>
  <c r="E40" i="17"/>
  <c r="C40" i="17"/>
  <c r="O39" i="17"/>
  <c r="G39" i="17"/>
  <c r="E39" i="17"/>
  <c r="C39" i="17"/>
  <c r="O38" i="17"/>
  <c r="G38" i="17"/>
  <c r="E38" i="17"/>
  <c r="C38" i="17"/>
  <c r="O37" i="17"/>
  <c r="G37" i="17"/>
  <c r="E37" i="17"/>
  <c r="C37" i="17"/>
  <c r="O36" i="17"/>
  <c r="G36" i="17"/>
  <c r="E36" i="17"/>
  <c r="C36" i="17"/>
  <c r="O35" i="17"/>
  <c r="G35" i="17"/>
  <c r="E35" i="17"/>
  <c r="C35" i="17"/>
  <c r="O34" i="17"/>
  <c r="G34" i="17"/>
  <c r="E34" i="17"/>
  <c r="C34" i="17"/>
  <c r="O33" i="17"/>
  <c r="G33" i="17"/>
  <c r="E33" i="17"/>
  <c r="C33" i="17"/>
  <c r="O32" i="17"/>
  <c r="G32" i="17"/>
  <c r="E32" i="17"/>
  <c r="C32" i="17"/>
  <c r="O31" i="17"/>
  <c r="G31" i="17"/>
  <c r="E31" i="17"/>
  <c r="C31" i="17"/>
  <c r="O30" i="17"/>
  <c r="G30" i="17"/>
  <c r="E30" i="17"/>
  <c r="C30" i="17"/>
  <c r="O29" i="17"/>
  <c r="G29" i="17"/>
  <c r="E29" i="17"/>
  <c r="C29" i="17"/>
  <c r="O28" i="17"/>
  <c r="G28" i="17"/>
  <c r="E28" i="17"/>
  <c r="C28" i="17"/>
  <c r="O27" i="17"/>
  <c r="G27" i="17"/>
  <c r="E27" i="17"/>
  <c r="C27" i="17"/>
  <c r="O26" i="17"/>
  <c r="G26" i="17"/>
  <c r="E26" i="17"/>
  <c r="C26" i="17"/>
  <c r="O25" i="17"/>
  <c r="G25" i="17"/>
  <c r="E25" i="17"/>
  <c r="C25" i="17"/>
  <c r="O24" i="17"/>
  <c r="G24" i="17"/>
  <c r="E24" i="17"/>
  <c r="C24" i="17"/>
  <c r="O23" i="17"/>
  <c r="G23" i="17"/>
  <c r="E23" i="17"/>
  <c r="C23" i="17"/>
  <c r="O22" i="17"/>
  <c r="G22" i="17"/>
  <c r="E22" i="17"/>
  <c r="C22" i="17"/>
  <c r="O21" i="17"/>
  <c r="G21" i="17"/>
  <c r="E21" i="17"/>
  <c r="C21" i="17"/>
  <c r="O20" i="17"/>
  <c r="G20" i="17"/>
  <c r="E20" i="17"/>
  <c r="C20" i="17"/>
  <c r="O19" i="17"/>
  <c r="G19" i="17"/>
  <c r="E19" i="17"/>
  <c r="C19" i="17"/>
  <c r="O18" i="17"/>
  <c r="G18" i="17"/>
  <c r="E18" i="17"/>
  <c r="C18" i="17"/>
  <c r="O17" i="17"/>
  <c r="G17" i="17"/>
  <c r="E17" i="17"/>
  <c r="C17" i="17"/>
  <c r="O16" i="17"/>
  <c r="G16" i="17"/>
  <c r="E16" i="17"/>
  <c r="C16" i="17"/>
  <c r="O15" i="17"/>
  <c r="G15" i="17"/>
  <c r="E15" i="17"/>
  <c r="C15" i="17"/>
  <c r="O14" i="17"/>
  <c r="G14" i="17"/>
  <c r="E14" i="17"/>
  <c r="C14" i="17"/>
  <c r="O13" i="17"/>
  <c r="G13" i="17"/>
  <c r="E13" i="17"/>
  <c r="C13" i="17"/>
  <c r="O12" i="17"/>
  <c r="G12" i="17"/>
  <c r="E12" i="17"/>
  <c r="C12" i="17"/>
  <c r="O11" i="17"/>
  <c r="G11" i="17"/>
  <c r="E11" i="17"/>
  <c r="C11" i="17"/>
  <c r="O10" i="17"/>
  <c r="G10" i="17"/>
  <c r="E10" i="17"/>
  <c r="C10" i="17"/>
  <c r="O9" i="17"/>
  <c r="G9" i="17"/>
  <c r="E9" i="17"/>
  <c r="C9" i="17"/>
  <c r="O8" i="17"/>
  <c r="G8" i="17"/>
  <c r="E8" i="17"/>
  <c r="C8" i="17"/>
  <c r="O7" i="17"/>
  <c r="G7" i="17"/>
  <c r="E7" i="17"/>
  <c r="C7" i="17"/>
  <c r="O6" i="17"/>
  <c r="G6" i="17"/>
  <c r="E6" i="17"/>
  <c r="C6" i="17"/>
  <c r="O5" i="17"/>
  <c r="G5" i="17"/>
  <c r="E5" i="17"/>
  <c r="C5" i="17"/>
  <c r="O4" i="17"/>
  <c r="G4" i="17"/>
  <c r="E4" i="17"/>
  <c r="C4" i="17"/>
  <c r="O3" i="17"/>
  <c r="G3" i="17"/>
  <c r="E3" i="17"/>
  <c r="C3" i="17"/>
  <c r="O2" i="17"/>
  <c r="G2" i="17"/>
  <c r="E2" i="17"/>
  <c r="C2" i="17"/>
  <c r="O108" i="16"/>
  <c r="G108" i="16"/>
  <c r="E108" i="16"/>
  <c r="C108" i="16"/>
  <c r="O107" i="16"/>
  <c r="G107" i="16"/>
  <c r="E107" i="16"/>
  <c r="C107" i="16"/>
  <c r="O106" i="16"/>
  <c r="G106" i="16"/>
  <c r="E106" i="16"/>
  <c r="C106" i="16"/>
  <c r="O105" i="16"/>
  <c r="G105" i="16"/>
  <c r="E105" i="16"/>
  <c r="C105" i="16"/>
  <c r="O104" i="16"/>
  <c r="G104" i="16"/>
  <c r="E104" i="16"/>
  <c r="C104" i="16"/>
  <c r="O103" i="16"/>
  <c r="G103" i="16"/>
  <c r="E103" i="16"/>
  <c r="C103" i="16"/>
  <c r="O102" i="16"/>
  <c r="G102" i="16"/>
  <c r="E102" i="16"/>
  <c r="C102" i="16"/>
  <c r="O101" i="16"/>
  <c r="G101" i="16"/>
  <c r="E101" i="16"/>
  <c r="C101" i="16"/>
  <c r="O100" i="16"/>
  <c r="G100" i="16"/>
  <c r="E100" i="16"/>
  <c r="C100" i="16"/>
  <c r="O99" i="16"/>
  <c r="G99" i="16"/>
  <c r="E99" i="16"/>
  <c r="C99" i="16"/>
  <c r="O98" i="16"/>
  <c r="G98" i="16"/>
  <c r="E98" i="16"/>
  <c r="C98" i="16"/>
  <c r="O97" i="16"/>
  <c r="G97" i="16"/>
  <c r="E97" i="16"/>
  <c r="C97" i="16"/>
  <c r="O96" i="16"/>
  <c r="G96" i="16"/>
  <c r="E96" i="16"/>
  <c r="C96" i="16"/>
  <c r="O95" i="16"/>
  <c r="G95" i="16"/>
  <c r="E95" i="16"/>
  <c r="C95" i="16"/>
  <c r="O94" i="16"/>
  <c r="G94" i="16"/>
  <c r="E94" i="16"/>
  <c r="C94" i="16"/>
  <c r="O93" i="16"/>
  <c r="G93" i="16"/>
  <c r="E93" i="16"/>
  <c r="C93" i="16"/>
  <c r="O92" i="16"/>
  <c r="G92" i="16"/>
  <c r="E92" i="16"/>
  <c r="C92" i="16"/>
  <c r="O91" i="16"/>
  <c r="G91" i="16"/>
  <c r="E91" i="16"/>
  <c r="C91" i="16"/>
  <c r="O90" i="16"/>
  <c r="G90" i="16"/>
  <c r="E90" i="16"/>
  <c r="C90" i="16"/>
  <c r="O89" i="16"/>
  <c r="G89" i="16"/>
  <c r="E89" i="16"/>
  <c r="C89" i="16"/>
  <c r="O88" i="16"/>
  <c r="G88" i="16"/>
  <c r="E88" i="16"/>
  <c r="C88" i="16"/>
  <c r="O87" i="16"/>
  <c r="G87" i="16"/>
  <c r="E87" i="16"/>
  <c r="C87" i="16"/>
  <c r="O86" i="16"/>
  <c r="G86" i="16"/>
  <c r="E86" i="16"/>
  <c r="C86" i="16"/>
  <c r="O85" i="16"/>
  <c r="G85" i="16"/>
  <c r="E85" i="16"/>
  <c r="C85" i="16"/>
  <c r="O84" i="16"/>
  <c r="G84" i="16"/>
  <c r="E84" i="16"/>
  <c r="C84" i="16"/>
  <c r="O83" i="16"/>
  <c r="G83" i="16"/>
  <c r="E83" i="16"/>
  <c r="C83" i="16"/>
  <c r="O82" i="16"/>
  <c r="G82" i="16"/>
  <c r="E82" i="16"/>
  <c r="C82" i="16"/>
  <c r="O81" i="16"/>
  <c r="G81" i="16"/>
  <c r="E81" i="16"/>
  <c r="C81" i="16"/>
  <c r="O80" i="16"/>
  <c r="G80" i="16"/>
  <c r="E80" i="16"/>
  <c r="C80" i="16"/>
  <c r="O79" i="16"/>
  <c r="G79" i="16"/>
  <c r="E79" i="16"/>
  <c r="C79" i="16"/>
  <c r="O78" i="16"/>
  <c r="G78" i="16"/>
  <c r="E78" i="16"/>
  <c r="C78" i="16"/>
  <c r="O77" i="16"/>
  <c r="G77" i="16"/>
  <c r="E77" i="16"/>
  <c r="C77" i="16"/>
  <c r="O76" i="16"/>
  <c r="G76" i="16"/>
  <c r="E76" i="16"/>
  <c r="C76" i="16"/>
  <c r="O75" i="16"/>
  <c r="G75" i="16"/>
  <c r="E75" i="16"/>
  <c r="C75" i="16"/>
  <c r="O74" i="16"/>
  <c r="G74" i="16"/>
  <c r="E74" i="16"/>
  <c r="C74" i="16"/>
  <c r="O73" i="16"/>
  <c r="G73" i="16"/>
  <c r="E73" i="16"/>
  <c r="C73" i="16"/>
  <c r="O72" i="16"/>
  <c r="G72" i="16"/>
  <c r="E72" i="16"/>
  <c r="C72" i="16"/>
  <c r="O71" i="16"/>
  <c r="G71" i="16"/>
  <c r="E71" i="16"/>
  <c r="C71" i="16"/>
  <c r="O70" i="16"/>
  <c r="G70" i="16"/>
  <c r="E70" i="16"/>
  <c r="C70" i="16"/>
  <c r="O69" i="16"/>
  <c r="G69" i="16"/>
  <c r="E69" i="16"/>
  <c r="C69" i="16"/>
  <c r="O68" i="16"/>
  <c r="G68" i="16"/>
  <c r="E68" i="16"/>
  <c r="C68" i="16"/>
  <c r="O67" i="16"/>
  <c r="G67" i="16"/>
  <c r="E67" i="16"/>
  <c r="C67" i="16"/>
  <c r="O66" i="16"/>
  <c r="G66" i="16"/>
  <c r="E66" i="16"/>
  <c r="C66" i="16"/>
  <c r="O65" i="16"/>
  <c r="G65" i="16"/>
  <c r="E65" i="16"/>
  <c r="C65" i="16"/>
  <c r="O64" i="16"/>
  <c r="G64" i="16"/>
  <c r="E64" i="16"/>
  <c r="C64" i="16"/>
  <c r="O63" i="16"/>
  <c r="G63" i="16"/>
  <c r="E63" i="16"/>
  <c r="C63" i="16"/>
  <c r="O62" i="16"/>
  <c r="G62" i="16"/>
  <c r="E62" i="16"/>
  <c r="C62" i="16"/>
  <c r="O61" i="16"/>
  <c r="G61" i="16"/>
  <c r="E61" i="16"/>
  <c r="C61" i="16"/>
  <c r="O60" i="16"/>
  <c r="G60" i="16"/>
  <c r="E60" i="16"/>
  <c r="C60" i="16"/>
  <c r="O59" i="16"/>
  <c r="G59" i="16"/>
  <c r="E59" i="16"/>
  <c r="C59" i="16"/>
  <c r="O58" i="16"/>
  <c r="G58" i="16"/>
  <c r="E58" i="16"/>
  <c r="C58" i="16"/>
  <c r="O57" i="16"/>
  <c r="G57" i="16"/>
  <c r="E57" i="16"/>
  <c r="C57" i="16"/>
  <c r="O56" i="16"/>
  <c r="G56" i="16"/>
  <c r="E56" i="16"/>
  <c r="C56" i="16"/>
  <c r="O55" i="16"/>
  <c r="G55" i="16"/>
  <c r="E55" i="16"/>
  <c r="C55" i="16"/>
  <c r="O54" i="16"/>
  <c r="G54" i="16"/>
  <c r="E54" i="16"/>
  <c r="C54" i="16"/>
  <c r="O53" i="16"/>
  <c r="G53" i="16"/>
  <c r="E53" i="16"/>
  <c r="C53" i="16"/>
  <c r="O52" i="16"/>
  <c r="G52" i="16"/>
  <c r="E52" i="16"/>
  <c r="C52" i="16"/>
  <c r="O51" i="16"/>
  <c r="G51" i="16"/>
  <c r="E51" i="16"/>
  <c r="C51" i="16"/>
  <c r="O50" i="16"/>
  <c r="G50" i="16"/>
  <c r="E50" i="16"/>
  <c r="C50" i="16"/>
  <c r="O49" i="16"/>
  <c r="G49" i="16"/>
  <c r="E49" i="16"/>
  <c r="C49" i="16"/>
  <c r="O48" i="16"/>
  <c r="G48" i="16"/>
  <c r="E48" i="16"/>
  <c r="C48" i="16"/>
  <c r="O47" i="16"/>
  <c r="G47" i="16"/>
  <c r="E47" i="16"/>
  <c r="C47" i="16"/>
  <c r="O46" i="16"/>
  <c r="G46" i="16"/>
  <c r="E46" i="16"/>
  <c r="C46" i="16"/>
  <c r="O45" i="16"/>
  <c r="G45" i="16"/>
  <c r="E45" i="16"/>
  <c r="C45" i="16"/>
  <c r="O44" i="16"/>
  <c r="G44" i="16"/>
  <c r="E44" i="16"/>
  <c r="C44" i="16"/>
  <c r="O43" i="16"/>
  <c r="G43" i="16"/>
  <c r="E43" i="16"/>
  <c r="C43" i="16"/>
  <c r="O42" i="16"/>
  <c r="G42" i="16"/>
  <c r="E42" i="16"/>
  <c r="C42" i="16"/>
  <c r="O41" i="16"/>
  <c r="G41" i="16"/>
  <c r="E41" i="16"/>
  <c r="C41" i="16"/>
  <c r="O40" i="16"/>
  <c r="G40" i="16"/>
  <c r="E40" i="16"/>
  <c r="C40" i="16"/>
  <c r="O39" i="16"/>
  <c r="G39" i="16"/>
  <c r="E39" i="16"/>
  <c r="C39" i="16"/>
  <c r="O38" i="16"/>
  <c r="G38" i="16"/>
  <c r="E38" i="16"/>
  <c r="C38" i="16"/>
  <c r="O37" i="16"/>
  <c r="G37" i="16"/>
  <c r="E37" i="16"/>
  <c r="C37" i="16"/>
  <c r="O36" i="16"/>
  <c r="G36" i="16"/>
  <c r="E36" i="16"/>
  <c r="C36" i="16"/>
  <c r="O35" i="16"/>
  <c r="G35" i="16"/>
  <c r="E35" i="16"/>
  <c r="C35" i="16"/>
  <c r="O34" i="16"/>
  <c r="G34" i="16"/>
  <c r="E34" i="16"/>
  <c r="C34" i="16"/>
  <c r="O33" i="16"/>
  <c r="G33" i="16"/>
  <c r="E33" i="16"/>
  <c r="C33" i="16"/>
  <c r="O32" i="16"/>
  <c r="G32" i="16"/>
  <c r="E32" i="16"/>
  <c r="C32" i="16"/>
  <c r="O31" i="16"/>
  <c r="G31" i="16"/>
  <c r="E31" i="16"/>
  <c r="C31" i="16"/>
  <c r="O30" i="16"/>
  <c r="G30" i="16"/>
  <c r="E30" i="16"/>
  <c r="C30" i="16"/>
  <c r="O29" i="16"/>
  <c r="G29" i="16"/>
  <c r="E29" i="16"/>
  <c r="C29" i="16"/>
  <c r="O28" i="16"/>
  <c r="G28" i="16"/>
  <c r="E28" i="16"/>
  <c r="C28" i="16"/>
  <c r="O27" i="16"/>
  <c r="G27" i="16"/>
  <c r="E27" i="16"/>
  <c r="C27" i="16"/>
  <c r="O26" i="16"/>
  <c r="G26" i="16"/>
  <c r="E26" i="16"/>
  <c r="C26" i="16"/>
  <c r="O25" i="16"/>
  <c r="G25" i="16"/>
  <c r="E25" i="16"/>
  <c r="C25" i="16"/>
  <c r="O24" i="16"/>
  <c r="G24" i="16"/>
  <c r="E24" i="16"/>
  <c r="C24" i="16"/>
  <c r="O23" i="16"/>
  <c r="G23" i="16"/>
  <c r="E23" i="16"/>
  <c r="C23" i="16"/>
  <c r="O22" i="16"/>
  <c r="G22" i="16"/>
  <c r="E22" i="16"/>
  <c r="C22" i="16"/>
  <c r="O21" i="16"/>
  <c r="G21" i="16"/>
  <c r="E21" i="16"/>
  <c r="C21" i="16"/>
  <c r="O20" i="16"/>
  <c r="G20" i="16"/>
  <c r="E20" i="16"/>
  <c r="C20" i="16"/>
  <c r="O19" i="16"/>
  <c r="G19" i="16"/>
  <c r="E19" i="16"/>
  <c r="C19" i="16"/>
  <c r="O18" i="16"/>
  <c r="G18" i="16"/>
  <c r="E18" i="16"/>
  <c r="C18" i="16"/>
  <c r="O17" i="16"/>
  <c r="G17" i="16"/>
  <c r="E17" i="16"/>
  <c r="C17" i="16"/>
  <c r="O16" i="16"/>
  <c r="G16" i="16"/>
  <c r="E16" i="16"/>
  <c r="C16" i="16"/>
  <c r="O15" i="16"/>
  <c r="G15" i="16"/>
  <c r="E15" i="16"/>
  <c r="C15" i="16"/>
  <c r="O14" i="16"/>
  <c r="G14" i="16"/>
  <c r="E14" i="16"/>
  <c r="C14" i="16"/>
  <c r="O13" i="16"/>
  <c r="G13" i="16"/>
  <c r="E13" i="16"/>
  <c r="C13" i="16"/>
  <c r="O12" i="16"/>
  <c r="G12" i="16"/>
  <c r="E12" i="16"/>
  <c r="C12" i="16"/>
  <c r="O11" i="16"/>
  <c r="G11" i="16"/>
  <c r="E11" i="16"/>
  <c r="C11" i="16"/>
  <c r="O10" i="16"/>
  <c r="G10" i="16"/>
  <c r="E10" i="16"/>
  <c r="C10" i="16"/>
  <c r="O9" i="16"/>
  <c r="G9" i="16"/>
  <c r="E9" i="16"/>
  <c r="C9" i="16"/>
  <c r="O8" i="16"/>
  <c r="G8" i="16"/>
  <c r="E8" i="16"/>
  <c r="C8" i="16"/>
  <c r="O7" i="16"/>
  <c r="G7" i="16"/>
  <c r="E7" i="16"/>
  <c r="C7" i="16"/>
  <c r="O6" i="16"/>
  <c r="G6" i="16"/>
  <c r="E6" i="16"/>
  <c r="C6" i="16"/>
  <c r="O5" i="16"/>
  <c r="G5" i="16"/>
  <c r="E5" i="16"/>
  <c r="C5" i="16"/>
  <c r="O4" i="16"/>
  <c r="G4" i="16"/>
  <c r="E4" i="16"/>
  <c r="C4" i="16"/>
  <c r="O3" i="16"/>
  <c r="G3" i="16"/>
  <c r="E3" i="16"/>
  <c r="C3" i="16"/>
  <c r="O2" i="16"/>
  <c r="G2" i="16"/>
  <c r="E2" i="16"/>
  <c r="C2" i="16"/>
  <c r="O126" i="15"/>
  <c r="G126" i="15"/>
  <c r="E126" i="15"/>
  <c r="C126" i="15"/>
  <c r="O125" i="15"/>
  <c r="G125" i="15"/>
  <c r="E125" i="15"/>
  <c r="C125" i="15"/>
  <c r="O124" i="15"/>
  <c r="G124" i="15"/>
  <c r="E124" i="15"/>
  <c r="C124" i="15"/>
  <c r="O123" i="15"/>
  <c r="G123" i="15"/>
  <c r="E123" i="15"/>
  <c r="C123" i="15"/>
  <c r="O122" i="15"/>
  <c r="G122" i="15"/>
  <c r="E122" i="15"/>
  <c r="C122" i="15"/>
  <c r="O121" i="15"/>
  <c r="G121" i="15"/>
  <c r="E121" i="15"/>
  <c r="C121" i="15"/>
  <c r="O120" i="15"/>
  <c r="G120" i="15"/>
  <c r="E120" i="15"/>
  <c r="C120" i="15"/>
  <c r="O119" i="15"/>
  <c r="G119" i="15"/>
  <c r="E119" i="15"/>
  <c r="C119" i="15"/>
  <c r="O118" i="15"/>
  <c r="G118" i="15"/>
  <c r="E118" i="15"/>
  <c r="C118" i="15"/>
  <c r="O117" i="15"/>
  <c r="G117" i="15"/>
  <c r="E117" i="15"/>
  <c r="C117" i="15"/>
  <c r="O116" i="15"/>
  <c r="G116" i="15"/>
  <c r="E116" i="15"/>
  <c r="C116" i="15"/>
  <c r="O115" i="15"/>
  <c r="G115" i="15"/>
  <c r="E115" i="15"/>
  <c r="C115" i="15"/>
  <c r="O114" i="15"/>
  <c r="G114" i="15"/>
  <c r="E114" i="15"/>
  <c r="C114" i="15"/>
  <c r="O113" i="15"/>
  <c r="G113" i="15"/>
  <c r="E113" i="15"/>
  <c r="C113" i="15"/>
  <c r="O112" i="15"/>
  <c r="G112" i="15"/>
  <c r="E112" i="15"/>
  <c r="C112" i="15"/>
  <c r="O111" i="15"/>
  <c r="G111" i="15"/>
  <c r="E111" i="15"/>
  <c r="C111" i="15"/>
  <c r="O110" i="15"/>
  <c r="G110" i="15"/>
  <c r="E110" i="15"/>
  <c r="C110" i="15"/>
  <c r="O109" i="15"/>
  <c r="G109" i="15"/>
  <c r="E109" i="15"/>
  <c r="C109" i="15"/>
  <c r="O108" i="15"/>
  <c r="G108" i="15"/>
  <c r="E108" i="15"/>
  <c r="C108" i="15"/>
  <c r="O107" i="15"/>
  <c r="G107" i="15"/>
  <c r="E107" i="15"/>
  <c r="C107" i="15"/>
  <c r="O106" i="15"/>
  <c r="G106" i="15"/>
  <c r="E106" i="15"/>
  <c r="C106" i="15"/>
  <c r="O105" i="15"/>
  <c r="G105" i="15"/>
  <c r="E105" i="15"/>
  <c r="C105" i="15"/>
  <c r="O104" i="15"/>
  <c r="G104" i="15"/>
  <c r="E104" i="15"/>
  <c r="C104" i="15"/>
  <c r="O103" i="15"/>
  <c r="G103" i="15"/>
  <c r="E103" i="15"/>
  <c r="C103" i="15"/>
  <c r="O102" i="15"/>
  <c r="G102" i="15"/>
  <c r="E102" i="15"/>
  <c r="C102" i="15"/>
  <c r="O101" i="15"/>
  <c r="G101" i="15"/>
  <c r="E101" i="15"/>
  <c r="C101" i="15"/>
  <c r="O100" i="15"/>
  <c r="G100" i="15"/>
  <c r="E100" i="15"/>
  <c r="C100" i="15"/>
  <c r="O99" i="15"/>
  <c r="G99" i="15"/>
  <c r="E99" i="15"/>
  <c r="C99" i="15"/>
  <c r="O98" i="15"/>
  <c r="G98" i="15"/>
  <c r="E98" i="15"/>
  <c r="C98" i="15"/>
  <c r="O97" i="15"/>
  <c r="G97" i="15"/>
  <c r="E97" i="15"/>
  <c r="C97" i="15"/>
  <c r="O96" i="15"/>
  <c r="G96" i="15"/>
  <c r="E96" i="15"/>
  <c r="C96" i="15"/>
  <c r="O95" i="15"/>
  <c r="G95" i="15"/>
  <c r="E95" i="15"/>
  <c r="C95" i="15"/>
  <c r="O94" i="15"/>
  <c r="G94" i="15"/>
  <c r="E94" i="15"/>
  <c r="C94" i="15"/>
  <c r="O93" i="15"/>
  <c r="G93" i="15"/>
  <c r="E93" i="15"/>
  <c r="C93" i="15"/>
  <c r="O92" i="15"/>
  <c r="G92" i="15"/>
  <c r="E92" i="15"/>
  <c r="C92" i="15"/>
  <c r="O91" i="15"/>
  <c r="G91" i="15"/>
  <c r="E91" i="15"/>
  <c r="C91" i="15"/>
  <c r="O90" i="15"/>
  <c r="G90" i="15"/>
  <c r="E90" i="15"/>
  <c r="C90" i="15"/>
  <c r="O89" i="15"/>
  <c r="G89" i="15"/>
  <c r="E89" i="15"/>
  <c r="C89" i="15"/>
  <c r="O88" i="15"/>
  <c r="G88" i="15"/>
  <c r="E88" i="15"/>
  <c r="C88" i="15"/>
  <c r="O87" i="15"/>
  <c r="G87" i="15"/>
  <c r="E87" i="15"/>
  <c r="C87" i="15"/>
  <c r="O86" i="15"/>
  <c r="G86" i="15"/>
  <c r="E86" i="15"/>
  <c r="C86" i="15"/>
  <c r="O85" i="15"/>
  <c r="G85" i="15"/>
  <c r="E85" i="15"/>
  <c r="C85" i="15"/>
  <c r="O84" i="15"/>
  <c r="G84" i="15"/>
  <c r="E84" i="15"/>
  <c r="C84" i="15"/>
  <c r="O83" i="15"/>
  <c r="G83" i="15"/>
  <c r="E83" i="15"/>
  <c r="C83" i="15"/>
  <c r="O82" i="15"/>
  <c r="G82" i="15"/>
  <c r="E82" i="15"/>
  <c r="C82" i="15"/>
  <c r="O81" i="15"/>
  <c r="G81" i="15"/>
  <c r="E81" i="15"/>
  <c r="C81" i="15"/>
  <c r="O80" i="15"/>
  <c r="G80" i="15"/>
  <c r="E80" i="15"/>
  <c r="C80" i="15"/>
  <c r="O79" i="15"/>
  <c r="G79" i="15"/>
  <c r="E79" i="15"/>
  <c r="C79" i="15"/>
  <c r="O78" i="15"/>
  <c r="G78" i="15"/>
  <c r="E78" i="15"/>
  <c r="C78" i="15"/>
  <c r="O77" i="15"/>
  <c r="G77" i="15"/>
  <c r="E77" i="15"/>
  <c r="C77" i="15"/>
  <c r="O76" i="15"/>
  <c r="G76" i="15"/>
  <c r="E76" i="15"/>
  <c r="C76" i="15"/>
  <c r="O75" i="15"/>
  <c r="G75" i="15"/>
  <c r="E75" i="15"/>
  <c r="C75" i="15"/>
  <c r="O74" i="15"/>
  <c r="G74" i="15"/>
  <c r="E74" i="15"/>
  <c r="C74" i="15"/>
  <c r="O73" i="15"/>
  <c r="G73" i="15"/>
  <c r="E73" i="15"/>
  <c r="C73" i="15"/>
  <c r="O72" i="15"/>
  <c r="G72" i="15"/>
  <c r="E72" i="15"/>
  <c r="C72" i="15"/>
  <c r="O71" i="15"/>
  <c r="G71" i="15"/>
  <c r="E71" i="15"/>
  <c r="C71" i="15"/>
  <c r="O70" i="15"/>
  <c r="G70" i="15"/>
  <c r="E70" i="15"/>
  <c r="C70" i="15"/>
  <c r="O69" i="15"/>
  <c r="G69" i="15"/>
  <c r="E69" i="15"/>
  <c r="C69" i="15"/>
  <c r="O68" i="15"/>
  <c r="G68" i="15"/>
  <c r="E68" i="15"/>
  <c r="C68" i="15"/>
  <c r="O67" i="15"/>
  <c r="G67" i="15"/>
  <c r="E67" i="15"/>
  <c r="C67" i="15"/>
  <c r="O66" i="15"/>
  <c r="G66" i="15"/>
  <c r="E66" i="15"/>
  <c r="C66" i="15"/>
  <c r="O65" i="15"/>
  <c r="G65" i="15"/>
  <c r="E65" i="15"/>
  <c r="C65" i="15"/>
  <c r="O64" i="15"/>
  <c r="G64" i="15"/>
  <c r="E64" i="15"/>
  <c r="C64" i="15"/>
  <c r="O63" i="15"/>
  <c r="G63" i="15"/>
  <c r="E63" i="15"/>
  <c r="C63" i="15"/>
  <c r="O62" i="15"/>
  <c r="G62" i="15"/>
  <c r="E62" i="15"/>
  <c r="C62" i="15"/>
  <c r="O61" i="15"/>
  <c r="G61" i="15"/>
  <c r="E61" i="15"/>
  <c r="C61" i="15"/>
  <c r="O60" i="15"/>
  <c r="G60" i="15"/>
  <c r="E60" i="15"/>
  <c r="C60" i="15"/>
  <c r="O59" i="15"/>
  <c r="G59" i="15"/>
  <c r="E59" i="15"/>
  <c r="C59" i="15"/>
  <c r="O58" i="15"/>
  <c r="G58" i="15"/>
  <c r="E58" i="15"/>
  <c r="C58" i="15"/>
  <c r="O57" i="15"/>
  <c r="G57" i="15"/>
  <c r="E57" i="15"/>
  <c r="C57" i="15"/>
  <c r="O56" i="15"/>
  <c r="G56" i="15"/>
  <c r="E56" i="15"/>
  <c r="C56" i="15"/>
  <c r="O55" i="15"/>
  <c r="G55" i="15"/>
  <c r="E55" i="15"/>
  <c r="C55" i="15"/>
  <c r="O54" i="15"/>
  <c r="G54" i="15"/>
  <c r="E54" i="15"/>
  <c r="C54" i="15"/>
  <c r="O53" i="15"/>
  <c r="G53" i="15"/>
  <c r="E53" i="15"/>
  <c r="C53" i="15"/>
  <c r="O52" i="15"/>
  <c r="G52" i="15"/>
  <c r="E52" i="15"/>
  <c r="C52" i="15"/>
  <c r="O51" i="15"/>
  <c r="G51" i="15"/>
  <c r="E51" i="15"/>
  <c r="C51" i="15"/>
  <c r="O50" i="15"/>
  <c r="G50" i="15"/>
  <c r="E50" i="15"/>
  <c r="C50" i="15"/>
  <c r="O49" i="15"/>
  <c r="G49" i="15"/>
  <c r="E49" i="15"/>
  <c r="C49" i="15"/>
  <c r="O48" i="15"/>
  <c r="G48" i="15"/>
  <c r="E48" i="15"/>
  <c r="C48" i="15"/>
  <c r="O47" i="15"/>
  <c r="G47" i="15"/>
  <c r="E47" i="15"/>
  <c r="C47" i="15"/>
  <c r="O46" i="15"/>
  <c r="G46" i="15"/>
  <c r="E46" i="15"/>
  <c r="C46" i="15"/>
  <c r="O45" i="15"/>
  <c r="G45" i="15"/>
  <c r="E45" i="15"/>
  <c r="C45" i="15"/>
  <c r="O44" i="15"/>
  <c r="G44" i="15"/>
  <c r="E44" i="15"/>
  <c r="C44" i="15"/>
  <c r="O43" i="15"/>
  <c r="G43" i="15"/>
  <c r="E43" i="15"/>
  <c r="C43" i="15"/>
  <c r="O42" i="15"/>
  <c r="G42" i="15"/>
  <c r="E42" i="15"/>
  <c r="C42" i="15"/>
  <c r="O41" i="15"/>
  <c r="G41" i="15"/>
  <c r="E41" i="15"/>
  <c r="C41" i="15"/>
  <c r="O40" i="15"/>
  <c r="G40" i="15"/>
  <c r="E40" i="15"/>
  <c r="C40" i="15"/>
  <c r="O39" i="15"/>
  <c r="G39" i="15"/>
  <c r="E39" i="15"/>
  <c r="C39" i="15"/>
  <c r="O38" i="15"/>
  <c r="G38" i="15"/>
  <c r="E38" i="15"/>
  <c r="C38" i="15"/>
  <c r="O37" i="15"/>
  <c r="G37" i="15"/>
  <c r="E37" i="15"/>
  <c r="C37" i="15"/>
  <c r="O36" i="15"/>
  <c r="G36" i="15"/>
  <c r="E36" i="15"/>
  <c r="C36" i="15"/>
  <c r="O35" i="15"/>
  <c r="G35" i="15"/>
  <c r="E35" i="15"/>
  <c r="C35" i="15"/>
  <c r="O34" i="15"/>
  <c r="G34" i="15"/>
  <c r="E34" i="15"/>
  <c r="C34" i="15"/>
  <c r="O33" i="15"/>
  <c r="G33" i="15"/>
  <c r="E33" i="15"/>
  <c r="C33" i="15"/>
  <c r="O32" i="15"/>
  <c r="G32" i="15"/>
  <c r="E32" i="15"/>
  <c r="C32" i="15"/>
  <c r="O31" i="15"/>
  <c r="G31" i="15"/>
  <c r="E31" i="15"/>
  <c r="C31" i="15"/>
  <c r="O30" i="15"/>
  <c r="G30" i="15"/>
  <c r="E30" i="15"/>
  <c r="C30" i="15"/>
  <c r="O29" i="15"/>
  <c r="G29" i="15"/>
  <c r="E29" i="15"/>
  <c r="C29" i="15"/>
  <c r="O28" i="15"/>
  <c r="G28" i="15"/>
  <c r="E28" i="15"/>
  <c r="C28" i="15"/>
  <c r="O27" i="15"/>
  <c r="G27" i="15"/>
  <c r="E27" i="15"/>
  <c r="C27" i="15"/>
  <c r="O26" i="15"/>
  <c r="G26" i="15"/>
  <c r="E26" i="15"/>
  <c r="C26" i="15"/>
  <c r="O25" i="15"/>
  <c r="G25" i="15"/>
  <c r="E25" i="15"/>
  <c r="C25" i="15"/>
  <c r="O24" i="15"/>
  <c r="G24" i="15"/>
  <c r="E24" i="15"/>
  <c r="C24" i="15"/>
  <c r="O23" i="15"/>
  <c r="G23" i="15"/>
  <c r="E23" i="15"/>
  <c r="C23" i="15"/>
  <c r="O22" i="15"/>
  <c r="G22" i="15"/>
  <c r="E22" i="15"/>
  <c r="C22" i="15"/>
  <c r="O21" i="15"/>
  <c r="G21" i="15"/>
  <c r="E21" i="15"/>
  <c r="C21" i="15"/>
  <c r="O20" i="15"/>
  <c r="G20" i="15"/>
  <c r="E20" i="15"/>
  <c r="C20" i="15"/>
  <c r="O19" i="15"/>
  <c r="G19" i="15"/>
  <c r="E19" i="15"/>
  <c r="C19" i="15"/>
  <c r="O18" i="15"/>
  <c r="G18" i="15"/>
  <c r="E18" i="15"/>
  <c r="C18" i="15"/>
  <c r="O17" i="15"/>
  <c r="G17" i="15"/>
  <c r="E17" i="15"/>
  <c r="C17" i="15"/>
  <c r="O16" i="15"/>
  <c r="G16" i="15"/>
  <c r="E16" i="15"/>
  <c r="C16" i="15"/>
  <c r="O15" i="15"/>
  <c r="G15" i="15"/>
  <c r="E15" i="15"/>
  <c r="C15" i="15"/>
  <c r="O14" i="15"/>
  <c r="G14" i="15"/>
  <c r="E14" i="15"/>
  <c r="C14" i="15"/>
  <c r="O13" i="15"/>
  <c r="G13" i="15"/>
  <c r="E13" i="15"/>
  <c r="C13" i="15"/>
  <c r="O12" i="15"/>
  <c r="G12" i="15"/>
  <c r="E12" i="15"/>
  <c r="C12" i="15"/>
  <c r="O11" i="15"/>
  <c r="G11" i="15"/>
  <c r="E11" i="15"/>
  <c r="C11" i="15"/>
  <c r="O10" i="15"/>
  <c r="G10" i="15"/>
  <c r="E10" i="15"/>
  <c r="C10" i="15"/>
  <c r="O9" i="15"/>
  <c r="G9" i="15"/>
  <c r="E9" i="15"/>
  <c r="C9" i="15"/>
  <c r="O8" i="15"/>
  <c r="G8" i="15"/>
  <c r="E8" i="15"/>
  <c r="C8" i="15"/>
  <c r="O7" i="15"/>
  <c r="G7" i="15"/>
  <c r="E7" i="15"/>
  <c r="C7" i="15"/>
  <c r="O6" i="15"/>
  <c r="G6" i="15"/>
  <c r="E6" i="15"/>
  <c r="C6" i="15"/>
  <c r="O5" i="15"/>
  <c r="G5" i="15"/>
  <c r="E5" i="15"/>
  <c r="C5" i="15"/>
  <c r="O4" i="15"/>
  <c r="G4" i="15"/>
  <c r="E4" i="15"/>
  <c r="C4" i="15"/>
  <c r="O3" i="15"/>
  <c r="G3" i="15"/>
  <c r="E3" i="15"/>
  <c r="C3" i="15"/>
  <c r="O2" i="15"/>
  <c r="G2" i="15"/>
  <c r="E2" i="15"/>
  <c r="C2" i="15"/>
  <c r="O344" i="14"/>
  <c r="G344" i="14"/>
  <c r="E344" i="14"/>
  <c r="C344" i="14"/>
  <c r="O343" i="14"/>
  <c r="G343" i="14"/>
  <c r="E343" i="14"/>
  <c r="C343" i="14"/>
  <c r="O342" i="14"/>
  <c r="G342" i="14"/>
  <c r="E342" i="14"/>
  <c r="C342" i="14"/>
  <c r="O341" i="14"/>
  <c r="G341" i="14"/>
  <c r="E341" i="14"/>
  <c r="C341" i="14"/>
  <c r="O340" i="14"/>
  <c r="G340" i="14"/>
  <c r="E340" i="14"/>
  <c r="C340" i="14"/>
  <c r="O339" i="14"/>
  <c r="G339" i="14"/>
  <c r="E339" i="14"/>
  <c r="C339" i="14"/>
  <c r="O338" i="14"/>
  <c r="G338" i="14"/>
  <c r="E338" i="14"/>
  <c r="C338" i="14"/>
  <c r="O337" i="14"/>
  <c r="G337" i="14"/>
  <c r="E337" i="14"/>
  <c r="C337" i="14"/>
  <c r="O336" i="14"/>
  <c r="G336" i="14"/>
  <c r="E336" i="14"/>
  <c r="C336" i="14"/>
  <c r="O335" i="14"/>
  <c r="G335" i="14"/>
  <c r="E335" i="14"/>
  <c r="C335" i="14"/>
  <c r="O334" i="14"/>
  <c r="G334" i="14"/>
  <c r="E334" i="14"/>
  <c r="C334" i="14"/>
  <c r="O333" i="14"/>
  <c r="G333" i="14"/>
  <c r="E333" i="14"/>
  <c r="C333" i="14"/>
  <c r="O332" i="14"/>
  <c r="G332" i="14"/>
  <c r="E332" i="14"/>
  <c r="C332" i="14"/>
  <c r="O331" i="14"/>
  <c r="G331" i="14"/>
  <c r="E331" i="14"/>
  <c r="C331" i="14"/>
  <c r="O330" i="14"/>
  <c r="G330" i="14"/>
  <c r="E330" i="14"/>
  <c r="C330" i="14"/>
  <c r="O329" i="14"/>
  <c r="G329" i="14"/>
  <c r="E329" i="14"/>
  <c r="C329" i="14"/>
  <c r="O328" i="14"/>
  <c r="G328" i="14"/>
  <c r="E328" i="14"/>
  <c r="C328" i="14"/>
  <c r="O327" i="14"/>
  <c r="G327" i="14"/>
  <c r="E327" i="14"/>
  <c r="C327" i="14"/>
  <c r="O326" i="14"/>
  <c r="G326" i="14"/>
  <c r="E326" i="14"/>
  <c r="C326" i="14"/>
  <c r="O325" i="14"/>
  <c r="G325" i="14"/>
  <c r="E325" i="14"/>
  <c r="C325" i="14"/>
  <c r="O324" i="14"/>
  <c r="G324" i="14"/>
  <c r="E324" i="14"/>
  <c r="C324" i="14"/>
  <c r="O323" i="14"/>
  <c r="G323" i="14"/>
  <c r="E323" i="14"/>
  <c r="C323" i="14"/>
  <c r="O322" i="14"/>
  <c r="G322" i="14"/>
  <c r="E322" i="14"/>
  <c r="C322" i="14"/>
  <c r="O321" i="14"/>
  <c r="G321" i="14"/>
  <c r="E321" i="14"/>
  <c r="C321" i="14"/>
  <c r="O320" i="14"/>
  <c r="G320" i="14"/>
  <c r="E320" i="14"/>
  <c r="C320" i="14"/>
  <c r="O319" i="14"/>
  <c r="G319" i="14"/>
  <c r="E319" i="14"/>
  <c r="C319" i="14"/>
  <c r="O318" i="14"/>
  <c r="G318" i="14"/>
  <c r="E318" i="14"/>
  <c r="C318" i="14"/>
  <c r="O317" i="14"/>
  <c r="G317" i="14"/>
  <c r="E317" i="14"/>
  <c r="C317" i="14"/>
  <c r="O316" i="14"/>
  <c r="G316" i="14"/>
  <c r="E316" i="14"/>
  <c r="C316" i="14"/>
  <c r="O315" i="14"/>
  <c r="G315" i="14"/>
  <c r="E315" i="14"/>
  <c r="C315" i="14"/>
  <c r="O314" i="14"/>
  <c r="G314" i="14"/>
  <c r="E314" i="14"/>
  <c r="C314" i="14"/>
  <c r="O313" i="14"/>
  <c r="G313" i="14"/>
  <c r="E313" i="14"/>
  <c r="C313" i="14"/>
  <c r="O312" i="14"/>
  <c r="G312" i="14"/>
  <c r="E312" i="14"/>
  <c r="C312" i="14"/>
  <c r="O311" i="14"/>
  <c r="G311" i="14"/>
  <c r="E311" i="14"/>
  <c r="C311" i="14"/>
  <c r="O310" i="14"/>
  <c r="G310" i="14"/>
  <c r="E310" i="14"/>
  <c r="C310" i="14"/>
  <c r="O309" i="14"/>
  <c r="G309" i="14"/>
  <c r="E309" i="14"/>
  <c r="C309" i="14"/>
  <c r="O308" i="14"/>
  <c r="G308" i="14"/>
  <c r="E308" i="14"/>
  <c r="C308" i="14"/>
  <c r="O307" i="14"/>
  <c r="G307" i="14"/>
  <c r="E307" i="14"/>
  <c r="C307" i="14"/>
  <c r="O306" i="14"/>
  <c r="G306" i="14"/>
  <c r="E306" i="14"/>
  <c r="C306" i="14"/>
  <c r="O305" i="14"/>
  <c r="G305" i="14"/>
  <c r="E305" i="14"/>
  <c r="C305" i="14"/>
  <c r="O304" i="14"/>
  <c r="G304" i="14"/>
  <c r="E304" i="14"/>
  <c r="C304" i="14"/>
  <c r="O303" i="14"/>
  <c r="G303" i="14"/>
  <c r="E303" i="14"/>
  <c r="C303" i="14"/>
  <c r="O302" i="14"/>
  <c r="G302" i="14"/>
  <c r="E302" i="14"/>
  <c r="C302" i="14"/>
  <c r="O301" i="14"/>
  <c r="G301" i="14"/>
  <c r="E301" i="14"/>
  <c r="C301" i="14"/>
  <c r="O300" i="14"/>
  <c r="G300" i="14"/>
  <c r="E300" i="14"/>
  <c r="C300" i="14"/>
  <c r="O299" i="14"/>
  <c r="G299" i="14"/>
  <c r="E299" i="14"/>
  <c r="C299" i="14"/>
  <c r="O298" i="14"/>
  <c r="G298" i="14"/>
  <c r="E298" i="14"/>
  <c r="C298" i="14"/>
  <c r="O297" i="14"/>
  <c r="G297" i="14"/>
  <c r="E297" i="14"/>
  <c r="C297" i="14"/>
  <c r="O296" i="14"/>
  <c r="G296" i="14"/>
  <c r="E296" i="14"/>
  <c r="C296" i="14"/>
  <c r="O295" i="14"/>
  <c r="G295" i="14"/>
  <c r="E295" i="14"/>
  <c r="C295" i="14"/>
  <c r="O294" i="14"/>
  <c r="G294" i="14"/>
  <c r="E294" i="14"/>
  <c r="C294" i="14"/>
  <c r="O293" i="14"/>
  <c r="G293" i="14"/>
  <c r="E293" i="14"/>
  <c r="C293" i="14"/>
  <c r="O292" i="14"/>
  <c r="G292" i="14"/>
  <c r="E292" i="14"/>
  <c r="C292" i="14"/>
  <c r="O291" i="14"/>
  <c r="G291" i="14"/>
  <c r="E291" i="14"/>
  <c r="C291" i="14"/>
  <c r="O290" i="14"/>
  <c r="G290" i="14"/>
  <c r="E290" i="14"/>
  <c r="C290" i="14"/>
  <c r="O289" i="14"/>
  <c r="G289" i="14"/>
  <c r="E289" i="14"/>
  <c r="C289" i="14"/>
  <c r="O288" i="14"/>
  <c r="G288" i="14"/>
  <c r="E288" i="14"/>
  <c r="C288" i="14"/>
  <c r="O287" i="14"/>
  <c r="G287" i="14"/>
  <c r="E287" i="14"/>
  <c r="C287" i="14"/>
  <c r="O286" i="14"/>
  <c r="G286" i="14"/>
  <c r="E286" i="14"/>
  <c r="C286" i="14"/>
  <c r="O285" i="14"/>
  <c r="G285" i="14"/>
  <c r="E285" i="14"/>
  <c r="C285" i="14"/>
  <c r="O284" i="14"/>
  <c r="G284" i="14"/>
  <c r="E284" i="14"/>
  <c r="C284" i="14"/>
  <c r="O283" i="14"/>
  <c r="G283" i="14"/>
  <c r="E283" i="14"/>
  <c r="C283" i="14"/>
  <c r="O282" i="14"/>
  <c r="G282" i="14"/>
  <c r="E282" i="14"/>
  <c r="C282" i="14"/>
  <c r="O281" i="14"/>
  <c r="G281" i="14"/>
  <c r="E281" i="14"/>
  <c r="C281" i="14"/>
  <c r="O280" i="14"/>
  <c r="G280" i="14"/>
  <c r="E280" i="14"/>
  <c r="C280" i="14"/>
  <c r="O279" i="14"/>
  <c r="G279" i="14"/>
  <c r="E279" i="14"/>
  <c r="C279" i="14"/>
  <c r="O278" i="14"/>
  <c r="G278" i="14"/>
  <c r="E278" i="14"/>
  <c r="C278" i="14"/>
  <c r="O277" i="14"/>
  <c r="G277" i="14"/>
  <c r="E277" i="14"/>
  <c r="C277" i="14"/>
  <c r="O276" i="14"/>
  <c r="G276" i="14"/>
  <c r="E276" i="14"/>
  <c r="C276" i="14"/>
  <c r="O275" i="14"/>
  <c r="G275" i="14"/>
  <c r="E275" i="14"/>
  <c r="C275" i="14"/>
  <c r="O274" i="14"/>
  <c r="G274" i="14"/>
  <c r="E274" i="14"/>
  <c r="C274" i="14"/>
  <c r="O273" i="14"/>
  <c r="G273" i="14"/>
  <c r="E273" i="14"/>
  <c r="C273" i="14"/>
  <c r="O272" i="14"/>
  <c r="G272" i="14"/>
  <c r="E272" i="14"/>
  <c r="C272" i="14"/>
  <c r="O271" i="14"/>
  <c r="G271" i="14"/>
  <c r="E271" i="14"/>
  <c r="C271" i="14"/>
  <c r="O270" i="14"/>
  <c r="G270" i="14"/>
  <c r="E270" i="14"/>
  <c r="C270" i="14"/>
  <c r="O269" i="14"/>
  <c r="G269" i="14"/>
  <c r="E269" i="14"/>
  <c r="C269" i="14"/>
  <c r="O268" i="14"/>
  <c r="G268" i="14"/>
  <c r="E268" i="14"/>
  <c r="C268" i="14"/>
  <c r="O267" i="14"/>
  <c r="G267" i="14"/>
  <c r="E267" i="14"/>
  <c r="C267" i="14"/>
  <c r="O266" i="14"/>
  <c r="G266" i="14"/>
  <c r="E266" i="14"/>
  <c r="C266" i="14"/>
  <c r="O265" i="14"/>
  <c r="G265" i="14"/>
  <c r="E265" i="14"/>
  <c r="C265" i="14"/>
  <c r="O264" i="14"/>
  <c r="G264" i="14"/>
  <c r="E264" i="14"/>
  <c r="C264" i="14"/>
  <c r="O263" i="14"/>
  <c r="G263" i="14"/>
  <c r="E263" i="14"/>
  <c r="C263" i="14"/>
  <c r="O262" i="14"/>
  <c r="G262" i="14"/>
  <c r="E262" i="14"/>
  <c r="C262" i="14"/>
  <c r="O261" i="14"/>
  <c r="G261" i="14"/>
  <c r="E261" i="14"/>
  <c r="C261" i="14"/>
  <c r="O260" i="14"/>
  <c r="G260" i="14"/>
  <c r="E260" i="14"/>
  <c r="C260" i="14"/>
  <c r="O259" i="14"/>
  <c r="G259" i="14"/>
  <c r="E259" i="14"/>
  <c r="C259" i="14"/>
  <c r="O258" i="14"/>
  <c r="G258" i="14"/>
  <c r="E258" i="14"/>
  <c r="C258" i="14"/>
  <c r="O257" i="14"/>
  <c r="G257" i="14"/>
  <c r="E257" i="14"/>
  <c r="C257" i="14"/>
  <c r="O256" i="14"/>
  <c r="G256" i="14"/>
  <c r="E256" i="14"/>
  <c r="C256" i="14"/>
  <c r="O255" i="14"/>
  <c r="G255" i="14"/>
  <c r="E255" i="14"/>
  <c r="C255" i="14"/>
  <c r="O254" i="14"/>
  <c r="G254" i="14"/>
  <c r="E254" i="14"/>
  <c r="C254" i="14"/>
  <c r="O253" i="14"/>
  <c r="G253" i="14"/>
  <c r="E253" i="14"/>
  <c r="C253" i="14"/>
  <c r="O252" i="14"/>
  <c r="G252" i="14"/>
  <c r="E252" i="14"/>
  <c r="C252" i="14"/>
  <c r="O251" i="14"/>
  <c r="G251" i="14"/>
  <c r="E251" i="14"/>
  <c r="C251" i="14"/>
  <c r="O250" i="14"/>
  <c r="G250" i="14"/>
  <c r="E250" i="14"/>
  <c r="C250" i="14"/>
  <c r="O249" i="14"/>
  <c r="G249" i="14"/>
  <c r="E249" i="14"/>
  <c r="C249" i="14"/>
  <c r="O248" i="14"/>
  <c r="G248" i="14"/>
  <c r="E248" i="14"/>
  <c r="C248" i="14"/>
  <c r="O247" i="14"/>
  <c r="G247" i="14"/>
  <c r="E247" i="14"/>
  <c r="C247" i="14"/>
  <c r="O246" i="14"/>
  <c r="G246" i="14"/>
  <c r="E246" i="14"/>
  <c r="C246" i="14"/>
  <c r="O245" i="14"/>
  <c r="G245" i="14"/>
  <c r="E245" i="14"/>
  <c r="C245" i="14"/>
  <c r="O244" i="14"/>
  <c r="G244" i="14"/>
  <c r="E244" i="14"/>
  <c r="C244" i="14"/>
  <c r="O243" i="14"/>
  <c r="G243" i="14"/>
  <c r="E243" i="14"/>
  <c r="C243" i="14"/>
  <c r="O242" i="14"/>
  <c r="G242" i="14"/>
  <c r="E242" i="14"/>
  <c r="C242" i="14"/>
  <c r="O241" i="14"/>
  <c r="G241" i="14"/>
  <c r="E241" i="14"/>
  <c r="C241" i="14"/>
  <c r="O240" i="14"/>
  <c r="G240" i="14"/>
  <c r="E240" i="14"/>
  <c r="C240" i="14"/>
  <c r="O239" i="14"/>
  <c r="G239" i="14"/>
  <c r="E239" i="14"/>
  <c r="C239" i="14"/>
  <c r="O238" i="14"/>
  <c r="G238" i="14"/>
  <c r="E238" i="14"/>
  <c r="C238" i="14"/>
  <c r="O237" i="14"/>
  <c r="G237" i="14"/>
  <c r="E237" i="14"/>
  <c r="C237" i="14"/>
  <c r="O236" i="14"/>
  <c r="G236" i="14"/>
  <c r="E236" i="14"/>
  <c r="C236" i="14"/>
  <c r="O235" i="14"/>
  <c r="G235" i="14"/>
  <c r="E235" i="14"/>
  <c r="C235" i="14"/>
  <c r="O234" i="14"/>
  <c r="G234" i="14"/>
  <c r="E234" i="14"/>
  <c r="C234" i="14"/>
  <c r="O233" i="14"/>
  <c r="G233" i="14"/>
  <c r="E233" i="14"/>
  <c r="C233" i="14"/>
  <c r="O232" i="14"/>
  <c r="G232" i="14"/>
  <c r="E232" i="14"/>
  <c r="C232" i="14"/>
  <c r="O231" i="14"/>
  <c r="G231" i="14"/>
  <c r="E231" i="14"/>
  <c r="C231" i="14"/>
  <c r="O230" i="14"/>
  <c r="G230" i="14"/>
  <c r="E230" i="14"/>
  <c r="C230" i="14"/>
  <c r="O229" i="14"/>
  <c r="G229" i="14"/>
  <c r="E229" i="14"/>
  <c r="C229" i="14"/>
  <c r="O228" i="14"/>
  <c r="G228" i="14"/>
  <c r="E228" i="14"/>
  <c r="C228" i="14"/>
  <c r="O227" i="14"/>
  <c r="G227" i="14"/>
  <c r="E227" i="14"/>
  <c r="C227" i="14"/>
  <c r="O226" i="14"/>
  <c r="G226" i="14"/>
  <c r="E226" i="14"/>
  <c r="C226" i="14"/>
  <c r="O225" i="14"/>
  <c r="G225" i="14"/>
  <c r="E225" i="14"/>
  <c r="C225" i="14"/>
  <c r="O224" i="14"/>
  <c r="G224" i="14"/>
  <c r="E224" i="14"/>
  <c r="C224" i="14"/>
  <c r="O223" i="14"/>
  <c r="G223" i="14"/>
  <c r="E223" i="14"/>
  <c r="C223" i="14"/>
  <c r="O222" i="14"/>
  <c r="G222" i="14"/>
  <c r="E222" i="14"/>
  <c r="C222" i="14"/>
  <c r="O221" i="14"/>
  <c r="G221" i="14"/>
  <c r="E221" i="14"/>
  <c r="C221" i="14"/>
  <c r="O220" i="14"/>
  <c r="G220" i="14"/>
  <c r="E220" i="14"/>
  <c r="C220" i="14"/>
  <c r="O219" i="14"/>
  <c r="G219" i="14"/>
  <c r="E219" i="14"/>
  <c r="C219" i="14"/>
  <c r="O218" i="14"/>
  <c r="G218" i="14"/>
  <c r="E218" i="14"/>
  <c r="C218" i="14"/>
  <c r="O217" i="14"/>
  <c r="G217" i="14"/>
  <c r="E217" i="14"/>
  <c r="C217" i="14"/>
  <c r="O216" i="14"/>
  <c r="G216" i="14"/>
  <c r="E216" i="14"/>
  <c r="C216" i="14"/>
  <c r="O215" i="14"/>
  <c r="G215" i="14"/>
  <c r="E215" i="14"/>
  <c r="C215" i="14"/>
  <c r="O214" i="14"/>
  <c r="G214" i="14"/>
  <c r="E214" i="14"/>
  <c r="C214" i="14"/>
  <c r="O213" i="14"/>
  <c r="G213" i="14"/>
  <c r="E213" i="14"/>
  <c r="C213" i="14"/>
  <c r="O212" i="14"/>
  <c r="G212" i="14"/>
  <c r="E212" i="14"/>
  <c r="C212" i="14"/>
  <c r="O211" i="14"/>
  <c r="G211" i="14"/>
  <c r="E211" i="14"/>
  <c r="C211" i="14"/>
  <c r="O210" i="14"/>
  <c r="G210" i="14"/>
  <c r="E210" i="14"/>
  <c r="C210" i="14"/>
  <c r="O209" i="14"/>
  <c r="G209" i="14"/>
  <c r="E209" i="14"/>
  <c r="C209" i="14"/>
  <c r="O208" i="14"/>
  <c r="G208" i="14"/>
  <c r="E208" i="14"/>
  <c r="C208" i="14"/>
  <c r="O207" i="14"/>
  <c r="G207" i="14"/>
  <c r="E207" i="14"/>
  <c r="C207" i="14"/>
  <c r="O206" i="14"/>
  <c r="G206" i="14"/>
  <c r="E206" i="14"/>
  <c r="C206" i="14"/>
  <c r="O205" i="14"/>
  <c r="G205" i="14"/>
  <c r="E205" i="14"/>
  <c r="C205" i="14"/>
  <c r="O204" i="14"/>
  <c r="G204" i="14"/>
  <c r="E204" i="14"/>
  <c r="C204" i="14"/>
  <c r="O203" i="14"/>
  <c r="G203" i="14"/>
  <c r="E203" i="14"/>
  <c r="C203" i="14"/>
  <c r="O202" i="14"/>
  <c r="G202" i="14"/>
  <c r="E202" i="14"/>
  <c r="C202" i="14"/>
  <c r="O201" i="14"/>
  <c r="G201" i="14"/>
  <c r="E201" i="14"/>
  <c r="C201" i="14"/>
  <c r="O200" i="14"/>
  <c r="G200" i="14"/>
  <c r="E200" i="14"/>
  <c r="C200" i="14"/>
  <c r="O199" i="14"/>
  <c r="G199" i="14"/>
  <c r="E199" i="14"/>
  <c r="C199" i="14"/>
  <c r="O198" i="14"/>
  <c r="G198" i="14"/>
  <c r="E198" i="14"/>
  <c r="C198" i="14"/>
  <c r="O197" i="14"/>
  <c r="G197" i="14"/>
  <c r="E197" i="14"/>
  <c r="C197" i="14"/>
  <c r="O196" i="14"/>
  <c r="G196" i="14"/>
  <c r="E196" i="14"/>
  <c r="C196" i="14"/>
  <c r="O195" i="14"/>
  <c r="G195" i="14"/>
  <c r="E195" i="14"/>
  <c r="C195" i="14"/>
  <c r="O194" i="14"/>
  <c r="G194" i="14"/>
  <c r="E194" i="14"/>
  <c r="C194" i="14"/>
  <c r="O193" i="14"/>
  <c r="G193" i="14"/>
  <c r="E193" i="14"/>
  <c r="C193" i="14"/>
  <c r="O192" i="14"/>
  <c r="G192" i="14"/>
  <c r="E192" i="14"/>
  <c r="C192" i="14"/>
  <c r="O191" i="14"/>
  <c r="G191" i="14"/>
  <c r="E191" i="14"/>
  <c r="C191" i="14"/>
  <c r="O190" i="14"/>
  <c r="G190" i="14"/>
  <c r="E190" i="14"/>
  <c r="C190" i="14"/>
  <c r="O189" i="14"/>
  <c r="G189" i="14"/>
  <c r="E189" i="14"/>
  <c r="C189" i="14"/>
  <c r="O188" i="14"/>
  <c r="G188" i="14"/>
  <c r="E188" i="14"/>
  <c r="C188" i="14"/>
  <c r="O187" i="14"/>
  <c r="G187" i="14"/>
  <c r="E187" i="14"/>
  <c r="C187" i="14"/>
  <c r="O186" i="14"/>
  <c r="G186" i="14"/>
  <c r="E186" i="14"/>
  <c r="C186" i="14"/>
  <c r="O185" i="14"/>
  <c r="G185" i="14"/>
  <c r="E185" i="14"/>
  <c r="C185" i="14"/>
  <c r="O184" i="14"/>
  <c r="G184" i="14"/>
  <c r="E184" i="14"/>
  <c r="C184" i="14"/>
  <c r="O183" i="14"/>
  <c r="G183" i="14"/>
  <c r="E183" i="14"/>
  <c r="C183" i="14"/>
  <c r="O182" i="14"/>
  <c r="G182" i="14"/>
  <c r="E182" i="14"/>
  <c r="C182" i="14"/>
  <c r="O181" i="14"/>
  <c r="G181" i="14"/>
  <c r="E181" i="14"/>
  <c r="C181" i="14"/>
  <c r="O180" i="14"/>
  <c r="G180" i="14"/>
  <c r="E180" i="14"/>
  <c r="C180" i="14"/>
  <c r="O179" i="14"/>
  <c r="G179" i="14"/>
  <c r="E179" i="14"/>
  <c r="C179" i="14"/>
  <c r="O178" i="14"/>
  <c r="G178" i="14"/>
  <c r="E178" i="14"/>
  <c r="C178" i="14"/>
  <c r="O177" i="14"/>
  <c r="G177" i="14"/>
  <c r="E177" i="14"/>
  <c r="C177" i="14"/>
  <c r="O176" i="14"/>
  <c r="G176" i="14"/>
  <c r="E176" i="14"/>
  <c r="C176" i="14"/>
  <c r="O175" i="14"/>
  <c r="G175" i="14"/>
  <c r="E175" i="14"/>
  <c r="C175" i="14"/>
  <c r="O174" i="14"/>
  <c r="G174" i="14"/>
  <c r="E174" i="14"/>
  <c r="C174" i="14"/>
  <c r="O173" i="14"/>
  <c r="G173" i="14"/>
  <c r="E173" i="14"/>
  <c r="C173" i="14"/>
  <c r="O172" i="14"/>
  <c r="G172" i="14"/>
  <c r="E172" i="14"/>
  <c r="C172" i="14"/>
  <c r="O171" i="14"/>
  <c r="G171" i="14"/>
  <c r="E171" i="14"/>
  <c r="C171" i="14"/>
  <c r="O170" i="14"/>
  <c r="G170" i="14"/>
  <c r="E170" i="14"/>
  <c r="C170" i="14"/>
  <c r="O169" i="14"/>
  <c r="G169" i="14"/>
  <c r="E169" i="14"/>
  <c r="C169" i="14"/>
  <c r="O168" i="14"/>
  <c r="G168" i="14"/>
  <c r="E168" i="14"/>
  <c r="C168" i="14"/>
  <c r="O167" i="14"/>
  <c r="G167" i="14"/>
  <c r="E167" i="14"/>
  <c r="C167" i="14"/>
  <c r="O166" i="14"/>
  <c r="G166" i="14"/>
  <c r="E166" i="14"/>
  <c r="C166" i="14"/>
  <c r="O165" i="14"/>
  <c r="G165" i="14"/>
  <c r="E165" i="14"/>
  <c r="C165" i="14"/>
  <c r="O164" i="14"/>
  <c r="G164" i="14"/>
  <c r="E164" i="14"/>
  <c r="C164" i="14"/>
  <c r="O163" i="14"/>
  <c r="G163" i="14"/>
  <c r="E163" i="14"/>
  <c r="C163" i="14"/>
  <c r="O162" i="14"/>
  <c r="G162" i="14"/>
  <c r="E162" i="14"/>
  <c r="C162" i="14"/>
  <c r="O161" i="14"/>
  <c r="G161" i="14"/>
  <c r="E161" i="14"/>
  <c r="C161" i="14"/>
  <c r="O160" i="14"/>
  <c r="G160" i="14"/>
  <c r="E160" i="14"/>
  <c r="C160" i="14"/>
  <c r="O159" i="14"/>
  <c r="G159" i="14"/>
  <c r="E159" i="14"/>
  <c r="C159" i="14"/>
  <c r="O158" i="14"/>
  <c r="G158" i="14"/>
  <c r="E158" i="14"/>
  <c r="C158" i="14"/>
  <c r="O157" i="14"/>
  <c r="G157" i="14"/>
  <c r="E157" i="14"/>
  <c r="C157" i="14"/>
  <c r="O156" i="14"/>
  <c r="G156" i="14"/>
  <c r="E156" i="14"/>
  <c r="C156" i="14"/>
  <c r="O155" i="14"/>
  <c r="G155" i="14"/>
  <c r="E155" i="14"/>
  <c r="C155" i="14"/>
  <c r="O154" i="14"/>
  <c r="G154" i="14"/>
  <c r="E154" i="14"/>
  <c r="C154" i="14"/>
  <c r="O153" i="14"/>
  <c r="G153" i="14"/>
  <c r="E153" i="14"/>
  <c r="C153" i="14"/>
  <c r="O152" i="14"/>
  <c r="G152" i="14"/>
  <c r="E152" i="14"/>
  <c r="C152" i="14"/>
  <c r="O151" i="14"/>
  <c r="G151" i="14"/>
  <c r="E151" i="14"/>
  <c r="C151" i="14"/>
  <c r="O150" i="14"/>
  <c r="G150" i="14"/>
  <c r="E150" i="14"/>
  <c r="C150" i="14"/>
  <c r="O149" i="14"/>
  <c r="G149" i="14"/>
  <c r="E149" i="14"/>
  <c r="C149" i="14"/>
  <c r="O148" i="14"/>
  <c r="G148" i="14"/>
  <c r="E148" i="14"/>
  <c r="C148" i="14"/>
  <c r="O147" i="14"/>
  <c r="G147" i="14"/>
  <c r="E147" i="14"/>
  <c r="C147" i="14"/>
  <c r="O146" i="14"/>
  <c r="G146" i="14"/>
  <c r="E146" i="14"/>
  <c r="C146" i="14"/>
  <c r="O145" i="14"/>
  <c r="G145" i="14"/>
  <c r="E145" i="14"/>
  <c r="C145" i="14"/>
  <c r="O144" i="14"/>
  <c r="G144" i="14"/>
  <c r="E144" i="14"/>
  <c r="C144" i="14"/>
  <c r="O143" i="14"/>
  <c r="G143" i="14"/>
  <c r="E143" i="14"/>
  <c r="C143" i="14"/>
  <c r="O142" i="14"/>
  <c r="G142" i="14"/>
  <c r="E142" i="14"/>
  <c r="C142" i="14"/>
  <c r="O141" i="14"/>
  <c r="G141" i="14"/>
  <c r="E141" i="14"/>
  <c r="C141" i="14"/>
  <c r="O140" i="14"/>
  <c r="G140" i="14"/>
  <c r="E140" i="14"/>
  <c r="C140" i="14"/>
  <c r="O139" i="14"/>
  <c r="G139" i="14"/>
  <c r="E139" i="14"/>
  <c r="C139" i="14"/>
  <c r="O138" i="14"/>
  <c r="G138" i="14"/>
  <c r="E138" i="14"/>
  <c r="C138" i="14"/>
  <c r="O137" i="14"/>
  <c r="G137" i="14"/>
  <c r="E137" i="14"/>
  <c r="C137" i="14"/>
  <c r="O136" i="14"/>
  <c r="G136" i="14"/>
  <c r="E136" i="14"/>
  <c r="C136" i="14"/>
  <c r="O135" i="14"/>
  <c r="G135" i="14"/>
  <c r="E135" i="14"/>
  <c r="C135" i="14"/>
  <c r="O134" i="14"/>
  <c r="G134" i="14"/>
  <c r="E134" i="14"/>
  <c r="C134" i="14"/>
  <c r="O133" i="14"/>
  <c r="G133" i="14"/>
  <c r="E133" i="14"/>
  <c r="C133" i="14"/>
  <c r="O132" i="14"/>
  <c r="G132" i="14"/>
  <c r="E132" i="14"/>
  <c r="C132" i="14"/>
  <c r="O131" i="14"/>
  <c r="G131" i="14"/>
  <c r="E131" i="14"/>
  <c r="C131" i="14"/>
  <c r="O130" i="14"/>
  <c r="G130" i="14"/>
  <c r="E130" i="14"/>
  <c r="C130" i="14"/>
  <c r="O129" i="14"/>
  <c r="G129" i="14"/>
  <c r="E129" i="14"/>
  <c r="C129" i="14"/>
  <c r="O128" i="14"/>
  <c r="G128" i="14"/>
  <c r="E128" i="14"/>
  <c r="C128" i="14"/>
  <c r="O127" i="14"/>
  <c r="G127" i="14"/>
  <c r="E127" i="14"/>
  <c r="C127" i="14"/>
  <c r="O126" i="14"/>
  <c r="G126" i="14"/>
  <c r="E126" i="14"/>
  <c r="C126" i="14"/>
  <c r="O125" i="14"/>
  <c r="G125" i="14"/>
  <c r="E125" i="14"/>
  <c r="C125" i="14"/>
  <c r="O124" i="14"/>
  <c r="G124" i="14"/>
  <c r="E124" i="14"/>
  <c r="C124" i="14"/>
  <c r="O123" i="14"/>
  <c r="G123" i="14"/>
  <c r="E123" i="14"/>
  <c r="C123" i="14"/>
  <c r="O122" i="14"/>
  <c r="G122" i="14"/>
  <c r="E122" i="14"/>
  <c r="C122" i="14"/>
  <c r="O121" i="14"/>
  <c r="G121" i="14"/>
  <c r="E121" i="14"/>
  <c r="C121" i="14"/>
  <c r="O120" i="14"/>
  <c r="G120" i="14"/>
  <c r="E120" i="14"/>
  <c r="C120" i="14"/>
  <c r="O119" i="14"/>
  <c r="G119" i="14"/>
  <c r="E119" i="14"/>
  <c r="C119" i="14"/>
  <c r="O118" i="14"/>
  <c r="G118" i="14"/>
  <c r="E118" i="14"/>
  <c r="C118" i="14"/>
  <c r="O117" i="14"/>
  <c r="G117" i="14"/>
  <c r="E117" i="14"/>
  <c r="C117" i="14"/>
  <c r="O116" i="14"/>
  <c r="G116" i="14"/>
  <c r="E116" i="14"/>
  <c r="C116" i="14"/>
  <c r="O115" i="14"/>
  <c r="G115" i="14"/>
  <c r="E115" i="14"/>
  <c r="C115" i="14"/>
  <c r="O114" i="14"/>
  <c r="G114" i="14"/>
  <c r="E114" i="14"/>
  <c r="C114" i="14"/>
  <c r="O113" i="14"/>
  <c r="G113" i="14"/>
  <c r="E113" i="14"/>
  <c r="C113" i="14"/>
  <c r="O112" i="14"/>
  <c r="G112" i="14"/>
  <c r="E112" i="14"/>
  <c r="C112" i="14"/>
  <c r="O111" i="14"/>
  <c r="G111" i="14"/>
  <c r="E111" i="14"/>
  <c r="C111" i="14"/>
  <c r="O110" i="14"/>
  <c r="G110" i="14"/>
  <c r="E110" i="14"/>
  <c r="C110" i="14"/>
  <c r="O109" i="14"/>
  <c r="G109" i="14"/>
  <c r="E109" i="14"/>
  <c r="C109" i="14"/>
  <c r="O108" i="14"/>
  <c r="G108" i="14"/>
  <c r="E108" i="14"/>
  <c r="C108" i="14"/>
  <c r="O107" i="14"/>
  <c r="G107" i="14"/>
  <c r="E107" i="14"/>
  <c r="C107" i="14"/>
  <c r="O106" i="14"/>
  <c r="G106" i="14"/>
  <c r="E106" i="14"/>
  <c r="C106" i="14"/>
  <c r="O105" i="14"/>
  <c r="G105" i="14"/>
  <c r="E105" i="14"/>
  <c r="C105" i="14"/>
  <c r="O104" i="14"/>
  <c r="G104" i="14"/>
  <c r="E104" i="14"/>
  <c r="C104" i="14"/>
  <c r="O103" i="14"/>
  <c r="G103" i="14"/>
  <c r="E103" i="14"/>
  <c r="C103" i="14"/>
  <c r="O102" i="14"/>
  <c r="G102" i="14"/>
  <c r="E102" i="14"/>
  <c r="C102" i="14"/>
  <c r="O101" i="14"/>
  <c r="G101" i="14"/>
  <c r="E101" i="14"/>
  <c r="C101" i="14"/>
  <c r="O100" i="14"/>
  <c r="G100" i="14"/>
  <c r="E100" i="14"/>
  <c r="C100" i="14"/>
  <c r="O99" i="14"/>
  <c r="G99" i="14"/>
  <c r="E99" i="14"/>
  <c r="C99" i="14"/>
  <c r="O98" i="14"/>
  <c r="G98" i="14"/>
  <c r="E98" i="14"/>
  <c r="C98" i="14"/>
  <c r="O97" i="14"/>
  <c r="G97" i="14"/>
  <c r="E97" i="14"/>
  <c r="C97" i="14"/>
  <c r="O96" i="14"/>
  <c r="G96" i="14"/>
  <c r="E96" i="14"/>
  <c r="C96" i="14"/>
  <c r="O95" i="14"/>
  <c r="G95" i="14"/>
  <c r="E95" i="14"/>
  <c r="C95" i="14"/>
  <c r="O94" i="14"/>
  <c r="G94" i="14"/>
  <c r="E94" i="14"/>
  <c r="C94" i="14"/>
  <c r="O93" i="14"/>
  <c r="G93" i="14"/>
  <c r="E93" i="14"/>
  <c r="C93" i="14"/>
  <c r="O92" i="14"/>
  <c r="G92" i="14"/>
  <c r="E92" i="14"/>
  <c r="C92" i="14"/>
  <c r="O91" i="14"/>
  <c r="G91" i="14"/>
  <c r="E91" i="14"/>
  <c r="C91" i="14"/>
  <c r="O90" i="14"/>
  <c r="G90" i="14"/>
  <c r="E90" i="14"/>
  <c r="C90" i="14"/>
  <c r="O89" i="14"/>
  <c r="G89" i="14"/>
  <c r="E89" i="14"/>
  <c r="C89" i="14"/>
  <c r="O88" i="14"/>
  <c r="G88" i="14"/>
  <c r="E88" i="14"/>
  <c r="C88" i="14"/>
  <c r="O87" i="14"/>
  <c r="G87" i="14"/>
  <c r="E87" i="14"/>
  <c r="C87" i="14"/>
  <c r="O86" i="14"/>
  <c r="G86" i="14"/>
  <c r="E86" i="14"/>
  <c r="C86" i="14"/>
  <c r="O85" i="14"/>
  <c r="G85" i="14"/>
  <c r="E85" i="14"/>
  <c r="C85" i="14"/>
  <c r="O84" i="14"/>
  <c r="G84" i="14"/>
  <c r="E84" i="14"/>
  <c r="C84" i="14"/>
  <c r="O83" i="14"/>
  <c r="G83" i="14"/>
  <c r="E83" i="14"/>
  <c r="C83" i="14"/>
  <c r="O82" i="14"/>
  <c r="G82" i="14"/>
  <c r="E82" i="14"/>
  <c r="C82" i="14"/>
  <c r="O81" i="14"/>
  <c r="G81" i="14"/>
  <c r="E81" i="14"/>
  <c r="C81" i="14"/>
  <c r="O80" i="14"/>
  <c r="G80" i="14"/>
  <c r="E80" i="14"/>
  <c r="C80" i="14"/>
  <c r="O79" i="14"/>
  <c r="G79" i="14"/>
  <c r="E79" i="14"/>
  <c r="C79" i="14"/>
  <c r="O78" i="14"/>
  <c r="G78" i="14"/>
  <c r="E78" i="14"/>
  <c r="C78" i="14"/>
  <c r="O77" i="14"/>
  <c r="G77" i="14"/>
  <c r="E77" i="14"/>
  <c r="C77" i="14"/>
  <c r="O76" i="14"/>
  <c r="G76" i="14"/>
  <c r="E76" i="14"/>
  <c r="C76" i="14"/>
  <c r="O75" i="14"/>
  <c r="G75" i="14"/>
  <c r="E75" i="14"/>
  <c r="C75" i="14"/>
  <c r="O74" i="14"/>
  <c r="G74" i="14"/>
  <c r="E74" i="14"/>
  <c r="C74" i="14"/>
  <c r="O73" i="14"/>
  <c r="G73" i="14"/>
  <c r="E73" i="14"/>
  <c r="C73" i="14"/>
  <c r="O72" i="14"/>
  <c r="G72" i="14"/>
  <c r="E72" i="14"/>
  <c r="C72" i="14"/>
  <c r="O71" i="14"/>
  <c r="G71" i="14"/>
  <c r="E71" i="14"/>
  <c r="C71" i="14"/>
  <c r="O70" i="14"/>
  <c r="G70" i="14"/>
  <c r="E70" i="14"/>
  <c r="C70" i="14"/>
  <c r="O69" i="14"/>
  <c r="G69" i="14"/>
  <c r="E69" i="14"/>
  <c r="C69" i="14"/>
  <c r="O68" i="14"/>
  <c r="G68" i="14"/>
  <c r="E68" i="14"/>
  <c r="C68" i="14"/>
  <c r="O67" i="14"/>
  <c r="G67" i="14"/>
  <c r="E67" i="14"/>
  <c r="C67" i="14"/>
  <c r="O66" i="14"/>
  <c r="G66" i="14"/>
  <c r="E66" i="14"/>
  <c r="C66" i="14"/>
  <c r="O65" i="14"/>
  <c r="G65" i="14"/>
  <c r="E65" i="14"/>
  <c r="C65" i="14"/>
  <c r="O64" i="14"/>
  <c r="G64" i="14"/>
  <c r="E64" i="14"/>
  <c r="C64" i="14"/>
  <c r="O63" i="14"/>
  <c r="G63" i="14"/>
  <c r="E63" i="14"/>
  <c r="C63" i="14"/>
  <c r="O62" i="14"/>
  <c r="G62" i="14"/>
  <c r="E62" i="14"/>
  <c r="C62" i="14"/>
  <c r="O61" i="14"/>
  <c r="G61" i="14"/>
  <c r="E61" i="14"/>
  <c r="C61" i="14"/>
  <c r="O60" i="14"/>
  <c r="G60" i="14"/>
  <c r="E60" i="14"/>
  <c r="C60" i="14"/>
  <c r="O59" i="14"/>
  <c r="G59" i="14"/>
  <c r="E59" i="14"/>
  <c r="C59" i="14"/>
  <c r="O58" i="14"/>
  <c r="G58" i="14"/>
  <c r="E58" i="14"/>
  <c r="C58" i="14"/>
  <c r="O57" i="14"/>
  <c r="G57" i="14"/>
  <c r="E57" i="14"/>
  <c r="C57" i="14"/>
  <c r="O56" i="14"/>
  <c r="G56" i="14"/>
  <c r="E56" i="14"/>
  <c r="C56" i="14"/>
  <c r="O55" i="14"/>
  <c r="G55" i="14"/>
  <c r="E55" i="14"/>
  <c r="C55" i="14"/>
  <c r="O54" i="14"/>
  <c r="G54" i="14"/>
  <c r="E54" i="14"/>
  <c r="C54" i="14"/>
  <c r="O53" i="14"/>
  <c r="G53" i="14"/>
  <c r="E53" i="14"/>
  <c r="C53" i="14"/>
  <c r="O52" i="14"/>
  <c r="G52" i="14"/>
  <c r="E52" i="14"/>
  <c r="C52" i="14"/>
  <c r="O51" i="14"/>
  <c r="G51" i="14"/>
  <c r="E51" i="14"/>
  <c r="C51" i="14"/>
  <c r="O50" i="14"/>
  <c r="G50" i="14"/>
  <c r="E50" i="14"/>
  <c r="C50" i="14"/>
  <c r="O49" i="14"/>
  <c r="G49" i="14"/>
  <c r="E49" i="14"/>
  <c r="C49" i="14"/>
  <c r="O48" i="14"/>
  <c r="G48" i="14"/>
  <c r="E48" i="14"/>
  <c r="C48" i="14"/>
  <c r="O47" i="14"/>
  <c r="G47" i="14"/>
  <c r="E47" i="14"/>
  <c r="C47" i="14"/>
  <c r="O46" i="14"/>
  <c r="G46" i="14"/>
  <c r="E46" i="14"/>
  <c r="C46" i="14"/>
  <c r="O45" i="14"/>
  <c r="G45" i="14"/>
  <c r="E45" i="14"/>
  <c r="C45" i="14"/>
  <c r="O44" i="14"/>
  <c r="G44" i="14"/>
  <c r="E44" i="14"/>
  <c r="C44" i="14"/>
  <c r="O43" i="14"/>
  <c r="G43" i="14"/>
  <c r="E43" i="14"/>
  <c r="C43" i="14"/>
  <c r="O42" i="14"/>
  <c r="G42" i="14"/>
  <c r="E42" i="14"/>
  <c r="C42" i="14"/>
  <c r="O41" i="14"/>
  <c r="G41" i="14"/>
  <c r="E41" i="14"/>
  <c r="C41" i="14"/>
  <c r="O40" i="14"/>
  <c r="G40" i="14"/>
  <c r="E40" i="14"/>
  <c r="C40" i="14"/>
  <c r="O39" i="14"/>
  <c r="G39" i="14"/>
  <c r="E39" i="14"/>
  <c r="C39" i="14"/>
  <c r="O38" i="14"/>
  <c r="G38" i="14"/>
  <c r="E38" i="14"/>
  <c r="C38" i="14"/>
  <c r="O37" i="14"/>
  <c r="G37" i="14"/>
  <c r="E37" i="14"/>
  <c r="C37" i="14"/>
  <c r="O36" i="14"/>
  <c r="G36" i="14"/>
  <c r="E36" i="14"/>
  <c r="C36" i="14"/>
  <c r="O35" i="14"/>
  <c r="G35" i="14"/>
  <c r="E35" i="14"/>
  <c r="C35" i="14"/>
  <c r="O34" i="14"/>
  <c r="G34" i="14"/>
  <c r="E34" i="14"/>
  <c r="C34" i="14"/>
  <c r="O33" i="14"/>
  <c r="G33" i="14"/>
  <c r="E33" i="14"/>
  <c r="C33" i="14"/>
  <c r="O32" i="14"/>
  <c r="G32" i="14"/>
  <c r="E32" i="14"/>
  <c r="C32" i="14"/>
  <c r="O31" i="14"/>
  <c r="G31" i="14"/>
  <c r="E31" i="14"/>
  <c r="C31" i="14"/>
  <c r="O30" i="14"/>
  <c r="G30" i="14"/>
  <c r="E30" i="14"/>
  <c r="C30" i="14"/>
  <c r="O29" i="14"/>
  <c r="G29" i="14"/>
  <c r="E29" i="14"/>
  <c r="C29" i="14"/>
  <c r="O28" i="14"/>
  <c r="G28" i="14"/>
  <c r="E28" i="14"/>
  <c r="C28" i="14"/>
  <c r="O27" i="14"/>
  <c r="G27" i="14"/>
  <c r="E27" i="14"/>
  <c r="C27" i="14"/>
  <c r="O26" i="14"/>
  <c r="G26" i="14"/>
  <c r="E26" i="14"/>
  <c r="C26" i="14"/>
  <c r="O25" i="14"/>
  <c r="G25" i="14"/>
  <c r="E25" i="14"/>
  <c r="C25" i="14"/>
  <c r="O24" i="14"/>
  <c r="G24" i="14"/>
  <c r="E24" i="14"/>
  <c r="C24" i="14"/>
  <c r="O23" i="14"/>
  <c r="G23" i="14"/>
  <c r="E23" i="14"/>
  <c r="C23" i="14"/>
  <c r="O22" i="14"/>
  <c r="G22" i="14"/>
  <c r="E22" i="14"/>
  <c r="C22" i="14"/>
  <c r="O21" i="14"/>
  <c r="G21" i="14"/>
  <c r="E21" i="14"/>
  <c r="C21" i="14"/>
  <c r="O20" i="14"/>
  <c r="G20" i="14"/>
  <c r="E20" i="14"/>
  <c r="C20" i="14"/>
  <c r="O19" i="14"/>
  <c r="G19" i="14"/>
  <c r="E19" i="14"/>
  <c r="C19" i="14"/>
  <c r="O18" i="14"/>
  <c r="G18" i="14"/>
  <c r="E18" i="14"/>
  <c r="C18" i="14"/>
  <c r="O17" i="14"/>
  <c r="G17" i="14"/>
  <c r="E17" i="14"/>
  <c r="C17" i="14"/>
  <c r="O16" i="14"/>
  <c r="G16" i="14"/>
  <c r="E16" i="14"/>
  <c r="C16" i="14"/>
  <c r="O15" i="14"/>
  <c r="G15" i="14"/>
  <c r="E15" i="14"/>
  <c r="C15" i="14"/>
  <c r="O14" i="14"/>
  <c r="G14" i="14"/>
  <c r="E14" i="14"/>
  <c r="C14" i="14"/>
  <c r="O13" i="14"/>
  <c r="G13" i="14"/>
  <c r="E13" i="14"/>
  <c r="C13" i="14"/>
  <c r="O12" i="14"/>
  <c r="G12" i="14"/>
  <c r="E12" i="14"/>
  <c r="C12" i="14"/>
  <c r="O11" i="14"/>
  <c r="G11" i="14"/>
  <c r="E11" i="14"/>
  <c r="C11" i="14"/>
  <c r="O10" i="14"/>
  <c r="G10" i="14"/>
  <c r="E10" i="14"/>
  <c r="C10" i="14"/>
  <c r="O9" i="14"/>
  <c r="G9" i="14"/>
  <c r="E9" i="14"/>
  <c r="C9" i="14"/>
  <c r="O8" i="14"/>
  <c r="G8" i="14"/>
  <c r="E8" i="14"/>
  <c r="C8" i="14"/>
  <c r="O7" i="14"/>
  <c r="G7" i="14"/>
  <c r="E7" i="14"/>
  <c r="C7" i="14"/>
  <c r="O6" i="14"/>
  <c r="G6" i="14"/>
  <c r="E6" i="14"/>
  <c r="C6" i="14"/>
  <c r="O5" i="14"/>
  <c r="G5" i="14"/>
  <c r="E5" i="14"/>
  <c r="C5" i="14"/>
  <c r="O4" i="14"/>
  <c r="G4" i="14"/>
  <c r="E4" i="14"/>
  <c r="C4" i="14"/>
  <c r="O3" i="14"/>
  <c r="G3" i="14"/>
  <c r="E3" i="14"/>
  <c r="C3" i="14"/>
  <c r="O2" i="14"/>
  <c r="G2" i="14"/>
  <c r="E2" i="14"/>
  <c r="C2" i="14"/>
  <c r="O113" i="13"/>
  <c r="G113" i="13"/>
  <c r="E113" i="13"/>
  <c r="C113" i="13"/>
  <c r="O112" i="13"/>
  <c r="G112" i="13"/>
  <c r="E112" i="13"/>
  <c r="C112" i="13"/>
  <c r="O111" i="13"/>
  <c r="G111" i="13"/>
  <c r="E111" i="13"/>
  <c r="C111" i="13"/>
  <c r="O110" i="13"/>
  <c r="G110" i="13"/>
  <c r="E110" i="13"/>
  <c r="C110" i="13"/>
  <c r="O109" i="13"/>
  <c r="G109" i="13"/>
  <c r="E109" i="13"/>
  <c r="C109" i="13"/>
  <c r="O108" i="13"/>
  <c r="G108" i="13"/>
  <c r="E108" i="13"/>
  <c r="C108" i="13"/>
  <c r="O107" i="13"/>
  <c r="G107" i="13"/>
  <c r="E107" i="13"/>
  <c r="C107" i="13"/>
  <c r="O106" i="13"/>
  <c r="G106" i="13"/>
  <c r="E106" i="13"/>
  <c r="C106" i="13"/>
  <c r="O105" i="13"/>
  <c r="G105" i="13"/>
  <c r="E105" i="13"/>
  <c r="C105" i="13"/>
  <c r="O104" i="13"/>
  <c r="G104" i="13"/>
  <c r="E104" i="13"/>
  <c r="C104" i="13"/>
  <c r="O103" i="13"/>
  <c r="G103" i="13"/>
  <c r="E103" i="13"/>
  <c r="C103" i="13"/>
  <c r="O102" i="13"/>
  <c r="G102" i="13"/>
  <c r="E102" i="13"/>
  <c r="C102" i="13"/>
  <c r="O101" i="13"/>
  <c r="G101" i="13"/>
  <c r="E101" i="13"/>
  <c r="C101" i="13"/>
  <c r="O100" i="13"/>
  <c r="G100" i="13"/>
  <c r="E100" i="13"/>
  <c r="C100" i="13"/>
  <c r="O99" i="13"/>
  <c r="G99" i="13"/>
  <c r="E99" i="13"/>
  <c r="C99" i="13"/>
  <c r="O98" i="13"/>
  <c r="G98" i="13"/>
  <c r="E98" i="13"/>
  <c r="C98" i="13"/>
  <c r="O97" i="13"/>
  <c r="G97" i="13"/>
  <c r="E97" i="13"/>
  <c r="C97" i="13"/>
  <c r="O96" i="13"/>
  <c r="G96" i="13"/>
  <c r="E96" i="13"/>
  <c r="C96" i="13"/>
  <c r="O95" i="13"/>
  <c r="G95" i="13"/>
  <c r="E95" i="13"/>
  <c r="C95" i="13"/>
  <c r="O94" i="13"/>
  <c r="G94" i="13"/>
  <c r="E94" i="13"/>
  <c r="C94" i="13"/>
  <c r="O93" i="13"/>
  <c r="G93" i="13"/>
  <c r="E93" i="13"/>
  <c r="C93" i="13"/>
  <c r="O92" i="13"/>
  <c r="G92" i="13"/>
  <c r="E92" i="13"/>
  <c r="C92" i="13"/>
  <c r="O91" i="13"/>
  <c r="G91" i="13"/>
  <c r="E91" i="13"/>
  <c r="C91" i="13"/>
  <c r="O90" i="13"/>
  <c r="G90" i="13"/>
  <c r="E90" i="13"/>
  <c r="C90" i="13"/>
  <c r="O89" i="13"/>
  <c r="G89" i="13"/>
  <c r="E89" i="13"/>
  <c r="C89" i="13"/>
  <c r="O88" i="13"/>
  <c r="G88" i="13"/>
  <c r="E88" i="13"/>
  <c r="C88" i="13"/>
  <c r="O87" i="13"/>
  <c r="G87" i="13"/>
  <c r="E87" i="13"/>
  <c r="C87" i="13"/>
  <c r="O86" i="13"/>
  <c r="G86" i="13"/>
  <c r="E86" i="13"/>
  <c r="C86" i="13"/>
  <c r="O85" i="13"/>
  <c r="G85" i="13"/>
  <c r="E85" i="13"/>
  <c r="C85" i="13"/>
  <c r="O84" i="13"/>
  <c r="G84" i="13"/>
  <c r="E84" i="13"/>
  <c r="C84" i="13"/>
  <c r="O83" i="13"/>
  <c r="G83" i="13"/>
  <c r="E83" i="13"/>
  <c r="C83" i="13"/>
  <c r="O82" i="13"/>
  <c r="G82" i="13"/>
  <c r="E82" i="13"/>
  <c r="C82" i="13"/>
  <c r="O81" i="13"/>
  <c r="G81" i="13"/>
  <c r="E81" i="13"/>
  <c r="C81" i="13"/>
  <c r="O80" i="13"/>
  <c r="G80" i="13"/>
  <c r="E80" i="13"/>
  <c r="C80" i="13"/>
  <c r="O79" i="13"/>
  <c r="G79" i="13"/>
  <c r="E79" i="13"/>
  <c r="C79" i="13"/>
  <c r="O78" i="13"/>
  <c r="G78" i="13"/>
  <c r="E78" i="13"/>
  <c r="C78" i="13"/>
  <c r="O77" i="13"/>
  <c r="G77" i="13"/>
  <c r="E77" i="13"/>
  <c r="C77" i="13"/>
  <c r="O76" i="13"/>
  <c r="G76" i="13"/>
  <c r="E76" i="13"/>
  <c r="C76" i="13"/>
  <c r="O75" i="13"/>
  <c r="G75" i="13"/>
  <c r="E75" i="13"/>
  <c r="C75" i="13"/>
  <c r="O74" i="13"/>
  <c r="G74" i="13"/>
  <c r="E74" i="13"/>
  <c r="C74" i="13"/>
  <c r="O73" i="13"/>
  <c r="G73" i="13"/>
  <c r="E73" i="13"/>
  <c r="C73" i="13"/>
  <c r="O72" i="13"/>
  <c r="G72" i="13"/>
  <c r="E72" i="13"/>
  <c r="C72" i="13"/>
  <c r="O71" i="13"/>
  <c r="G71" i="13"/>
  <c r="E71" i="13"/>
  <c r="C71" i="13"/>
  <c r="O70" i="13"/>
  <c r="G70" i="13"/>
  <c r="E70" i="13"/>
  <c r="C70" i="13"/>
  <c r="O69" i="13"/>
  <c r="G69" i="13"/>
  <c r="E69" i="13"/>
  <c r="C69" i="13"/>
  <c r="O68" i="13"/>
  <c r="G68" i="13"/>
  <c r="E68" i="13"/>
  <c r="C68" i="13"/>
  <c r="O67" i="13"/>
  <c r="G67" i="13"/>
  <c r="E67" i="13"/>
  <c r="C67" i="13"/>
  <c r="O66" i="13"/>
  <c r="G66" i="13"/>
  <c r="E66" i="13"/>
  <c r="C66" i="13"/>
  <c r="O65" i="13"/>
  <c r="G65" i="13"/>
  <c r="E65" i="13"/>
  <c r="C65" i="13"/>
  <c r="O64" i="13"/>
  <c r="G64" i="13"/>
  <c r="E64" i="13"/>
  <c r="C64" i="13"/>
  <c r="O63" i="13"/>
  <c r="G63" i="13"/>
  <c r="E63" i="13"/>
  <c r="C63" i="13"/>
  <c r="O62" i="13"/>
  <c r="G62" i="13"/>
  <c r="E62" i="13"/>
  <c r="C62" i="13"/>
  <c r="O61" i="13"/>
  <c r="G61" i="13"/>
  <c r="E61" i="13"/>
  <c r="C61" i="13"/>
  <c r="O60" i="13"/>
  <c r="G60" i="13"/>
  <c r="E60" i="13"/>
  <c r="C60" i="13"/>
  <c r="O59" i="13"/>
  <c r="G59" i="13"/>
  <c r="E59" i="13"/>
  <c r="C59" i="13"/>
  <c r="O58" i="13"/>
  <c r="G58" i="13"/>
  <c r="E58" i="13"/>
  <c r="C58" i="13"/>
  <c r="O57" i="13"/>
  <c r="G57" i="13"/>
  <c r="E57" i="13"/>
  <c r="C57" i="13"/>
  <c r="O56" i="13"/>
  <c r="G56" i="13"/>
  <c r="E56" i="13"/>
  <c r="C56" i="13"/>
  <c r="O55" i="13"/>
  <c r="G55" i="13"/>
  <c r="E55" i="13"/>
  <c r="C55" i="13"/>
  <c r="O54" i="13"/>
  <c r="G54" i="13"/>
  <c r="E54" i="13"/>
  <c r="C54" i="13"/>
  <c r="O53" i="13"/>
  <c r="G53" i="13"/>
  <c r="E53" i="13"/>
  <c r="C53" i="13"/>
  <c r="O52" i="13"/>
  <c r="G52" i="13"/>
  <c r="E52" i="13"/>
  <c r="C52" i="13"/>
  <c r="O51" i="13"/>
  <c r="G51" i="13"/>
  <c r="E51" i="13"/>
  <c r="C51" i="13"/>
  <c r="O50" i="13"/>
  <c r="G50" i="13"/>
  <c r="E50" i="13"/>
  <c r="C50" i="13"/>
  <c r="O49" i="13"/>
  <c r="G49" i="13"/>
  <c r="E49" i="13"/>
  <c r="C49" i="13"/>
  <c r="O48" i="13"/>
  <c r="G48" i="13"/>
  <c r="E48" i="13"/>
  <c r="C48" i="13"/>
  <c r="O47" i="13"/>
  <c r="G47" i="13"/>
  <c r="E47" i="13"/>
  <c r="C47" i="13"/>
  <c r="O46" i="13"/>
  <c r="G46" i="13"/>
  <c r="E46" i="13"/>
  <c r="C46" i="13"/>
  <c r="O45" i="13"/>
  <c r="G45" i="13"/>
  <c r="E45" i="13"/>
  <c r="C45" i="13"/>
  <c r="O44" i="13"/>
  <c r="G44" i="13"/>
  <c r="E44" i="13"/>
  <c r="C44" i="13"/>
  <c r="O43" i="13"/>
  <c r="G43" i="13"/>
  <c r="E43" i="13"/>
  <c r="C43" i="13"/>
  <c r="O42" i="13"/>
  <c r="G42" i="13"/>
  <c r="E42" i="13"/>
  <c r="C42" i="13"/>
  <c r="O41" i="13"/>
  <c r="G41" i="13"/>
  <c r="E41" i="13"/>
  <c r="C41" i="13"/>
  <c r="O40" i="13"/>
  <c r="G40" i="13"/>
  <c r="E40" i="13"/>
  <c r="C40" i="13"/>
  <c r="O39" i="13"/>
  <c r="G39" i="13"/>
  <c r="E39" i="13"/>
  <c r="C39" i="13"/>
  <c r="O38" i="13"/>
  <c r="G38" i="13"/>
  <c r="E38" i="13"/>
  <c r="C38" i="13"/>
  <c r="O37" i="13"/>
  <c r="G37" i="13"/>
  <c r="E37" i="13"/>
  <c r="C37" i="13"/>
  <c r="O36" i="13"/>
  <c r="G36" i="13"/>
  <c r="E36" i="13"/>
  <c r="C36" i="13"/>
  <c r="O35" i="13"/>
  <c r="G35" i="13"/>
  <c r="E35" i="13"/>
  <c r="C35" i="13"/>
  <c r="O34" i="13"/>
  <c r="G34" i="13"/>
  <c r="E34" i="13"/>
  <c r="C34" i="13"/>
  <c r="O33" i="13"/>
  <c r="G33" i="13"/>
  <c r="E33" i="13"/>
  <c r="C33" i="13"/>
  <c r="O32" i="13"/>
  <c r="G32" i="13"/>
  <c r="E32" i="13"/>
  <c r="C32" i="13"/>
  <c r="O31" i="13"/>
  <c r="G31" i="13"/>
  <c r="E31" i="13"/>
  <c r="C31" i="13"/>
  <c r="O30" i="13"/>
  <c r="G30" i="13"/>
  <c r="E30" i="13"/>
  <c r="C30" i="13"/>
  <c r="O29" i="13"/>
  <c r="G29" i="13"/>
  <c r="E29" i="13"/>
  <c r="C29" i="13"/>
  <c r="O28" i="13"/>
  <c r="G28" i="13"/>
  <c r="E28" i="13"/>
  <c r="C28" i="13"/>
  <c r="O27" i="13"/>
  <c r="G27" i="13"/>
  <c r="E27" i="13"/>
  <c r="C27" i="13"/>
  <c r="O26" i="13"/>
  <c r="G26" i="13"/>
  <c r="E26" i="13"/>
  <c r="C26" i="13"/>
  <c r="O25" i="13"/>
  <c r="G25" i="13"/>
  <c r="E25" i="13"/>
  <c r="C25" i="13"/>
  <c r="O24" i="13"/>
  <c r="G24" i="13"/>
  <c r="E24" i="13"/>
  <c r="C24" i="13"/>
  <c r="O23" i="13"/>
  <c r="G23" i="13"/>
  <c r="E23" i="13"/>
  <c r="C23" i="13"/>
  <c r="O22" i="13"/>
  <c r="G22" i="13"/>
  <c r="E22" i="13"/>
  <c r="C22" i="13"/>
  <c r="O21" i="13"/>
  <c r="G21" i="13"/>
  <c r="E21" i="13"/>
  <c r="C21" i="13"/>
  <c r="O20" i="13"/>
  <c r="G20" i="13"/>
  <c r="E20" i="13"/>
  <c r="C20" i="13"/>
  <c r="O19" i="13"/>
  <c r="G19" i="13"/>
  <c r="E19" i="13"/>
  <c r="C19" i="13"/>
  <c r="O18" i="13"/>
  <c r="G18" i="13"/>
  <c r="E18" i="13"/>
  <c r="C18" i="13"/>
  <c r="O17" i="13"/>
  <c r="G17" i="13"/>
  <c r="E17" i="13"/>
  <c r="C17" i="13"/>
  <c r="O16" i="13"/>
  <c r="G16" i="13"/>
  <c r="E16" i="13"/>
  <c r="C16" i="13"/>
  <c r="O15" i="13"/>
  <c r="G15" i="13"/>
  <c r="E15" i="13"/>
  <c r="C15" i="13"/>
  <c r="O14" i="13"/>
  <c r="G14" i="13"/>
  <c r="E14" i="13"/>
  <c r="C14" i="13"/>
  <c r="O13" i="13"/>
  <c r="G13" i="13"/>
  <c r="E13" i="13"/>
  <c r="C13" i="13"/>
  <c r="O12" i="13"/>
  <c r="G12" i="13"/>
  <c r="E12" i="13"/>
  <c r="C12" i="13"/>
  <c r="O11" i="13"/>
  <c r="G11" i="13"/>
  <c r="E11" i="13"/>
  <c r="C11" i="13"/>
  <c r="O10" i="13"/>
  <c r="G10" i="13"/>
  <c r="E10" i="13"/>
  <c r="C10" i="13"/>
  <c r="O9" i="13"/>
  <c r="G9" i="13"/>
  <c r="E9" i="13"/>
  <c r="C9" i="13"/>
  <c r="O8" i="13"/>
  <c r="G8" i="13"/>
  <c r="E8" i="13"/>
  <c r="C8" i="13"/>
  <c r="O7" i="13"/>
  <c r="G7" i="13"/>
  <c r="E7" i="13"/>
  <c r="C7" i="13"/>
  <c r="O6" i="13"/>
  <c r="G6" i="13"/>
  <c r="E6" i="13"/>
  <c r="C6" i="13"/>
  <c r="O5" i="13"/>
  <c r="G5" i="13"/>
  <c r="E5" i="13"/>
  <c r="C5" i="13"/>
  <c r="O4" i="13"/>
  <c r="G4" i="13"/>
  <c r="E4" i="13"/>
  <c r="C4" i="13"/>
  <c r="O3" i="13"/>
  <c r="G3" i="13"/>
  <c r="E3" i="13"/>
  <c r="C3" i="13"/>
  <c r="O2" i="13"/>
  <c r="G2" i="13"/>
  <c r="E2" i="13"/>
  <c r="C2" i="13"/>
  <c r="C2" i="11"/>
  <c r="E2" i="11"/>
  <c r="G2" i="11"/>
  <c r="O2" i="11"/>
  <c r="C3" i="11"/>
  <c r="E3" i="11"/>
  <c r="G3" i="11"/>
  <c r="O3" i="11"/>
  <c r="C4" i="11"/>
  <c r="E4" i="11"/>
  <c r="G4" i="11"/>
  <c r="O4" i="11"/>
  <c r="C5" i="11"/>
  <c r="E5" i="11"/>
  <c r="G5" i="11"/>
  <c r="O5" i="11"/>
  <c r="O94" i="9"/>
  <c r="G94" i="9"/>
  <c r="E94" i="9"/>
  <c r="C94" i="9"/>
  <c r="O93" i="9"/>
  <c r="G93" i="9"/>
  <c r="E93" i="9"/>
  <c r="C93" i="9"/>
  <c r="O92" i="9"/>
  <c r="G92" i="9"/>
  <c r="E92" i="9"/>
  <c r="C92" i="9"/>
  <c r="O91" i="9"/>
  <c r="G91" i="9"/>
  <c r="E91" i="9"/>
  <c r="C91" i="9"/>
  <c r="O90" i="9"/>
  <c r="G90" i="9"/>
  <c r="E90" i="9"/>
  <c r="C90" i="9"/>
  <c r="O89" i="9"/>
  <c r="G89" i="9"/>
  <c r="E89" i="9"/>
  <c r="C89" i="9"/>
  <c r="O88" i="9"/>
  <c r="G88" i="9"/>
  <c r="E88" i="9"/>
  <c r="C88" i="9"/>
  <c r="O87" i="9"/>
  <c r="G87" i="9"/>
  <c r="E87" i="9"/>
  <c r="C87" i="9"/>
  <c r="O86" i="9"/>
  <c r="G86" i="9"/>
  <c r="E86" i="9"/>
  <c r="C86" i="9"/>
  <c r="O85" i="9"/>
  <c r="G85" i="9"/>
  <c r="E85" i="9"/>
  <c r="C85" i="9"/>
  <c r="O84" i="9"/>
  <c r="G84" i="9"/>
  <c r="E84" i="9"/>
  <c r="C84" i="9"/>
  <c r="O83" i="9"/>
  <c r="G83" i="9"/>
  <c r="E83" i="9"/>
  <c r="C83" i="9"/>
  <c r="O82" i="9"/>
  <c r="G82" i="9"/>
  <c r="E82" i="9"/>
  <c r="C82" i="9"/>
  <c r="O81" i="9"/>
  <c r="G81" i="9"/>
  <c r="E81" i="9"/>
  <c r="C81" i="9"/>
  <c r="O80" i="9"/>
  <c r="G80" i="9"/>
  <c r="E80" i="9"/>
  <c r="C80" i="9"/>
  <c r="O79" i="9"/>
  <c r="G79" i="9"/>
  <c r="E79" i="9"/>
  <c r="C79" i="9"/>
  <c r="O78" i="9"/>
  <c r="G78" i="9"/>
  <c r="E78" i="9"/>
  <c r="C78" i="9"/>
  <c r="O77" i="9"/>
  <c r="G77" i="9"/>
  <c r="E77" i="9"/>
  <c r="C77" i="9"/>
  <c r="O76" i="9"/>
  <c r="G76" i="9"/>
  <c r="E76" i="9"/>
  <c r="C76" i="9"/>
  <c r="O75" i="9"/>
  <c r="G75" i="9"/>
  <c r="E75" i="9"/>
  <c r="C75" i="9"/>
  <c r="O74" i="9"/>
  <c r="G74" i="9"/>
  <c r="E74" i="9"/>
  <c r="C74" i="9"/>
  <c r="O73" i="9"/>
  <c r="G73" i="9"/>
  <c r="E73" i="9"/>
  <c r="C73" i="9"/>
  <c r="O72" i="9"/>
  <c r="G72" i="9"/>
  <c r="E72" i="9"/>
  <c r="C72" i="9"/>
  <c r="O71" i="9"/>
  <c r="G71" i="9"/>
  <c r="E71" i="9"/>
  <c r="C71" i="9"/>
  <c r="O70" i="9"/>
  <c r="G70" i="9"/>
  <c r="E70" i="9"/>
  <c r="C70" i="9"/>
  <c r="O69" i="9"/>
  <c r="G69" i="9"/>
  <c r="E69" i="9"/>
  <c r="C69" i="9"/>
  <c r="O68" i="9"/>
  <c r="G68" i="9"/>
  <c r="E68" i="9"/>
  <c r="C68" i="9"/>
  <c r="O67" i="9"/>
  <c r="G67" i="9"/>
  <c r="E67" i="9"/>
  <c r="C67" i="9"/>
  <c r="O66" i="9"/>
  <c r="G66" i="9"/>
  <c r="E66" i="9"/>
  <c r="C66" i="9"/>
  <c r="O65" i="9"/>
  <c r="G65" i="9"/>
  <c r="E65" i="9"/>
  <c r="C65" i="9"/>
  <c r="O64" i="9"/>
  <c r="G64" i="9"/>
  <c r="E64" i="9"/>
  <c r="C64" i="9"/>
  <c r="O63" i="9"/>
  <c r="G63" i="9"/>
  <c r="E63" i="9"/>
  <c r="C63" i="9"/>
  <c r="O62" i="9"/>
  <c r="G62" i="9"/>
  <c r="E62" i="9"/>
  <c r="C62" i="9"/>
  <c r="O61" i="9"/>
  <c r="G61" i="9"/>
  <c r="E61" i="9"/>
  <c r="C61" i="9"/>
  <c r="O60" i="9"/>
  <c r="G60" i="9"/>
  <c r="E60" i="9"/>
  <c r="C60" i="9"/>
  <c r="O59" i="9"/>
  <c r="G59" i="9"/>
  <c r="E59" i="9"/>
  <c r="C59" i="9"/>
  <c r="O58" i="9"/>
  <c r="G58" i="9"/>
  <c r="E58" i="9"/>
  <c r="C58" i="9"/>
  <c r="O57" i="9"/>
  <c r="G57" i="9"/>
  <c r="E57" i="9"/>
  <c r="C57" i="9"/>
  <c r="O56" i="9"/>
  <c r="G56" i="9"/>
  <c r="E56" i="9"/>
  <c r="C56" i="9"/>
  <c r="O55" i="9"/>
  <c r="G55" i="9"/>
  <c r="E55" i="9"/>
  <c r="C55" i="9"/>
  <c r="O54" i="9"/>
  <c r="G54" i="9"/>
  <c r="E54" i="9"/>
  <c r="C54" i="9"/>
  <c r="O53" i="9"/>
  <c r="G53" i="9"/>
  <c r="E53" i="9"/>
  <c r="C53" i="9"/>
  <c r="O52" i="9"/>
  <c r="G52" i="9"/>
  <c r="E52" i="9"/>
  <c r="C52" i="9"/>
  <c r="O51" i="9"/>
  <c r="G51" i="9"/>
  <c r="E51" i="9"/>
  <c r="C51" i="9"/>
  <c r="O50" i="9"/>
  <c r="G50" i="9"/>
  <c r="E50" i="9"/>
  <c r="C50" i="9"/>
  <c r="O49" i="9"/>
  <c r="G49" i="9"/>
  <c r="E49" i="9"/>
  <c r="C49" i="9"/>
  <c r="O48" i="9"/>
  <c r="G48" i="9"/>
  <c r="E48" i="9"/>
  <c r="C48" i="9"/>
  <c r="O47" i="9"/>
  <c r="G47" i="9"/>
  <c r="E47" i="9"/>
  <c r="C47" i="9"/>
  <c r="O46" i="9"/>
  <c r="G46" i="9"/>
  <c r="E46" i="9"/>
  <c r="C46" i="9"/>
  <c r="O45" i="9"/>
  <c r="G45" i="9"/>
  <c r="E45" i="9"/>
  <c r="C45" i="9"/>
  <c r="O44" i="9"/>
  <c r="G44" i="9"/>
  <c r="E44" i="9"/>
  <c r="C44" i="9"/>
  <c r="O43" i="9"/>
  <c r="G43" i="9"/>
  <c r="E43" i="9"/>
  <c r="C43" i="9"/>
  <c r="O42" i="9"/>
  <c r="G42" i="9"/>
  <c r="E42" i="9"/>
  <c r="C42" i="9"/>
  <c r="O41" i="9"/>
  <c r="G41" i="9"/>
  <c r="E41" i="9"/>
  <c r="C41" i="9"/>
  <c r="O40" i="9"/>
  <c r="G40" i="9"/>
  <c r="E40" i="9"/>
  <c r="C40" i="9"/>
  <c r="O39" i="9"/>
  <c r="G39" i="9"/>
  <c r="E39" i="9"/>
  <c r="C39" i="9"/>
  <c r="O38" i="9"/>
  <c r="G38" i="9"/>
  <c r="E38" i="9"/>
  <c r="C38" i="9"/>
  <c r="O37" i="9"/>
  <c r="G37" i="9"/>
  <c r="E37" i="9"/>
  <c r="C37" i="9"/>
  <c r="O36" i="9"/>
  <c r="G36" i="9"/>
  <c r="E36" i="9"/>
  <c r="C36" i="9"/>
  <c r="O35" i="9"/>
  <c r="G35" i="9"/>
  <c r="E35" i="9"/>
  <c r="C35" i="9"/>
  <c r="O34" i="9"/>
  <c r="G34" i="9"/>
  <c r="E34" i="9"/>
  <c r="C34" i="9"/>
  <c r="O33" i="9"/>
  <c r="G33" i="9"/>
  <c r="E33" i="9"/>
  <c r="C33" i="9"/>
  <c r="O32" i="9"/>
  <c r="G32" i="9"/>
  <c r="E32" i="9"/>
  <c r="C32" i="9"/>
  <c r="O31" i="9"/>
  <c r="G31" i="9"/>
  <c r="E31" i="9"/>
  <c r="C31" i="9"/>
  <c r="O30" i="9"/>
  <c r="G30" i="9"/>
  <c r="E30" i="9"/>
  <c r="C30" i="9"/>
  <c r="O29" i="9"/>
  <c r="G29" i="9"/>
  <c r="E29" i="9"/>
  <c r="C29" i="9"/>
  <c r="O28" i="9"/>
  <c r="G28" i="9"/>
  <c r="E28" i="9"/>
  <c r="C28" i="9"/>
  <c r="O27" i="9"/>
  <c r="G27" i="9"/>
  <c r="E27" i="9"/>
  <c r="C27" i="9"/>
  <c r="O26" i="9"/>
  <c r="G26" i="9"/>
  <c r="E26" i="9"/>
  <c r="C26" i="9"/>
  <c r="O25" i="9"/>
  <c r="G25" i="9"/>
  <c r="E25" i="9"/>
  <c r="C25" i="9"/>
  <c r="O24" i="9"/>
  <c r="G24" i="9"/>
  <c r="E24" i="9"/>
  <c r="C24" i="9"/>
  <c r="O23" i="9"/>
  <c r="G23" i="9"/>
  <c r="E23" i="9"/>
  <c r="C23" i="9"/>
  <c r="O22" i="9"/>
  <c r="G22" i="9"/>
  <c r="E22" i="9"/>
  <c r="C22" i="9"/>
  <c r="O21" i="9"/>
  <c r="G21" i="9"/>
  <c r="E21" i="9"/>
  <c r="C21" i="9"/>
  <c r="O20" i="9"/>
  <c r="G20" i="9"/>
  <c r="E20" i="9"/>
  <c r="C20" i="9"/>
  <c r="O19" i="9"/>
  <c r="G19" i="9"/>
  <c r="E19" i="9"/>
  <c r="C19" i="9"/>
  <c r="O18" i="9"/>
  <c r="G18" i="9"/>
  <c r="E18" i="9"/>
  <c r="C18" i="9"/>
  <c r="O17" i="9"/>
  <c r="G17" i="9"/>
  <c r="E17" i="9"/>
  <c r="C17" i="9"/>
  <c r="O16" i="9"/>
  <c r="G16" i="9"/>
  <c r="E16" i="9"/>
  <c r="C16" i="9"/>
  <c r="O15" i="9"/>
  <c r="G15" i="9"/>
  <c r="E15" i="9"/>
  <c r="C15" i="9"/>
  <c r="O14" i="9"/>
  <c r="G14" i="9"/>
  <c r="E14" i="9"/>
  <c r="C14" i="9"/>
  <c r="O13" i="9"/>
  <c r="G13" i="9"/>
  <c r="E13" i="9"/>
  <c r="C13" i="9"/>
  <c r="O12" i="9"/>
  <c r="G12" i="9"/>
  <c r="E12" i="9"/>
  <c r="C12" i="9"/>
  <c r="O11" i="9"/>
  <c r="G11" i="9"/>
  <c r="E11" i="9"/>
  <c r="C11" i="9"/>
  <c r="O10" i="9"/>
  <c r="G10" i="9"/>
  <c r="E10" i="9"/>
  <c r="C10" i="9"/>
  <c r="O9" i="9"/>
  <c r="G9" i="9"/>
  <c r="E9" i="9"/>
  <c r="C9" i="9"/>
  <c r="O8" i="9"/>
  <c r="G8" i="9"/>
  <c r="E8" i="9"/>
  <c r="C8" i="9"/>
  <c r="O7" i="9"/>
  <c r="G7" i="9"/>
  <c r="E7" i="9"/>
  <c r="C7" i="9"/>
  <c r="O6" i="9"/>
  <c r="G6" i="9"/>
  <c r="E6" i="9"/>
  <c r="C6" i="9"/>
  <c r="O5" i="9"/>
  <c r="G5" i="9"/>
  <c r="E5" i="9"/>
  <c r="C5" i="9"/>
  <c r="O4" i="9"/>
  <c r="G4" i="9"/>
  <c r="E4" i="9"/>
  <c r="C4" i="9"/>
  <c r="O3" i="9"/>
  <c r="G3" i="9"/>
  <c r="E3" i="9"/>
  <c r="C3" i="9"/>
  <c r="O2" i="9"/>
  <c r="G2" i="9"/>
  <c r="E2" i="9"/>
  <c r="C2" i="9"/>
  <c r="O87" i="7"/>
  <c r="G87" i="7"/>
  <c r="E87" i="7"/>
  <c r="C87" i="7"/>
  <c r="O86" i="7"/>
  <c r="G86" i="7"/>
  <c r="E86" i="7"/>
  <c r="C86" i="7"/>
  <c r="O85" i="7"/>
  <c r="G85" i="7"/>
  <c r="E85" i="7"/>
  <c r="C85" i="7"/>
  <c r="O84" i="7"/>
  <c r="G84" i="7"/>
  <c r="E84" i="7"/>
  <c r="C84" i="7"/>
  <c r="O83" i="7"/>
  <c r="G83" i="7"/>
  <c r="E83" i="7"/>
  <c r="C83" i="7"/>
  <c r="O82" i="7"/>
  <c r="G82" i="7"/>
  <c r="E82" i="7"/>
  <c r="C82" i="7"/>
  <c r="O81" i="7"/>
  <c r="G81" i="7"/>
  <c r="E81" i="7"/>
  <c r="C81" i="7"/>
  <c r="O80" i="7"/>
  <c r="G80" i="7"/>
  <c r="E80" i="7"/>
  <c r="C80" i="7"/>
  <c r="O79" i="7"/>
  <c r="G79" i="7"/>
  <c r="E79" i="7"/>
  <c r="C79" i="7"/>
  <c r="O78" i="7"/>
  <c r="G78" i="7"/>
  <c r="E78" i="7"/>
  <c r="C78" i="7"/>
  <c r="O77" i="7"/>
  <c r="G77" i="7"/>
  <c r="E77" i="7"/>
  <c r="C77" i="7"/>
  <c r="O76" i="7"/>
  <c r="G76" i="7"/>
  <c r="E76" i="7"/>
  <c r="C76" i="7"/>
  <c r="O75" i="7"/>
  <c r="G75" i="7"/>
  <c r="E75" i="7"/>
  <c r="C75" i="7"/>
  <c r="O74" i="7"/>
  <c r="G74" i="7"/>
  <c r="E74" i="7"/>
  <c r="C74" i="7"/>
  <c r="O73" i="7"/>
  <c r="G73" i="7"/>
  <c r="E73" i="7"/>
  <c r="C73" i="7"/>
  <c r="O72" i="7"/>
  <c r="G72" i="7"/>
  <c r="E72" i="7"/>
  <c r="C72" i="7"/>
  <c r="O71" i="7"/>
  <c r="G71" i="7"/>
  <c r="E71" i="7"/>
  <c r="C71" i="7"/>
  <c r="O70" i="7"/>
  <c r="G70" i="7"/>
  <c r="E70" i="7"/>
  <c r="C70" i="7"/>
  <c r="O69" i="7"/>
  <c r="G69" i="7"/>
  <c r="E69" i="7"/>
  <c r="C69" i="7"/>
  <c r="O68" i="7"/>
  <c r="G68" i="7"/>
  <c r="E68" i="7"/>
  <c r="C68" i="7"/>
  <c r="O67" i="7"/>
  <c r="G67" i="7"/>
  <c r="E67" i="7"/>
  <c r="C67" i="7"/>
  <c r="O66" i="7"/>
  <c r="G66" i="7"/>
  <c r="E66" i="7"/>
  <c r="C66" i="7"/>
  <c r="O65" i="7"/>
  <c r="G65" i="7"/>
  <c r="E65" i="7"/>
  <c r="C65" i="7"/>
  <c r="O64" i="7"/>
  <c r="G64" i="7"/>
  <c r="E64" i="7"/>
  <c r="C64" i="7"/>
  <c r="O63" i="7"/>
  <c r="G63" i="7"/>
  <c r="E63" i="7"/>
  <c r="C63" i="7"/>
  <c r="O62" i="7"/>
  <c r="G62" i="7"/>
  <c r="E62" i="7"/>
  <c r="C62" i="7"/>
  <c r="O61" i="7"/>
  <c r="G61" i="7"/>
  <c r="E61" i="7"/>
  <c r="C61" i="7"/>
  <c r="O60" i="7"/>
  <c r="G60" i="7"/>
  <c r="E60" i="7"/>
  <c r="C60" i="7"/>
  <c r="O59" i="7"/>
  <c r="G59" i="7"/>
  <c r="E59" i="7"/>
  <c r="C59" i="7"/>
  <c r="O58" i="7"/>
  <c r="G58" i="7"/>
  <c r="E58" i="7"/>
  <c r="C58" i="7"/>
  <c r="O57" i="7"/>
  <c r="G57" i="7"/>
  <c r="E57" i="7"/>
  <c r="C57" i="7"/>
  <c r="O56" i="7"/>
  <c r="G56" i="7"/>
  <c r="E56" i="7"/>
  <c r="C56" i="7"/>
  <c r="O55" i="7"/>
  <c r="G55" i="7"/>
  <c r="E55" i="7"/>
  <c r="C55" i="7"/>
  <c r="O54" i="7"/>
  <c r="G54" i="7"/>
  <c r="E54" i="7"/>
  <c r="C54" i="7"/>
  <c r="O53" i="7"/>
  <c r="G53" i="7"/>
  <c r="E53" i="7"/>
  <c r="C53" i="7"/>
  <c r="O52" i="7"/>
  <c r="G52" i="7"/>
  <c r="E52" i="7"/>
  <c r="C52" i="7"/>
  <c r="O51" i="7"/>
  <c r="G51" i="7"/>
  <c r="E51" i="7"/>
  <c r="C51" i="7"/>
  <c r="O50" i="7"/>
  <c r="G50" i="7"/>
  <c r="E50" i="7"/>
  <c r="C50" i="7"/>
  <c r="O49" i="7"/>
  <c r="G49" i="7"/>
  <c r="E49" i="7"/>
  <c r="C49" i="7"/>
  <c r="O48" i="7"/>
  <c r="G48" i="7"/>
  <c r="E48" i="7"/>
  <c r="C48" i="7"/>
  <c r="O47" i="7"/>
  <c r="G47" i="7"/>
  <c r="E47" i="7"/>
  <c r="C47" i="7"/>
  <c r="O46" i="7"/>
  <c r="G46" i="7"/>
  <c r="E46" i="7"/>
  <c r="C46" i="7"/>
  <c r="O45" i="7"/>
  <c r="G45" i="7"/>
  <c r="E45" i="7"/>
  <c r="C45" i="7"/>
  <c r="O44" i="7"/>
  <c r="G44" i="7"/>
  <c r="E44" i="7"/>
  <c r="C44" i="7"/>
  <c r="O43" i="7"/>
  <c r="G43" i="7"/>
  <c r="E43" i="7"/>
  <c r="C43" i="7"/>
  <c r="O42" i="7"/>
  <c r="G42" i="7"/>
  <c r="E42" i="7"/>
  <c r="C42" i="7"/>
  <c r="O41" i="7"/>
  <c r="G41" i="7"/>
  <c r="E41" i="7"/>
  <c r="C41" i="7"/>
  <c r="O40" i="7"/>
  <c r="G40" i="7"/>
  <c r="E40" i="7"/>
  <c r="C40" i="7"/>
  <c r="O39" i="7"/>
  <c r="G39" i="7"/>
  <c r="E39" i="7"/>
  <c r="C39" i="7"/>
  <c r="O38" i="7"/>
  <c r="G38" i="7"/>
  <c r="E38" i="7"/>
  <c r="C38" i="7"/>
  <c r="O37" i="7"/>
  <c r="G37" i="7"/>
  <c r="E37" i="7"/>
  <c r="C37" i="7"/>
  <c r="O36" i="7"/>
  <c r="G36" i="7"/>
  <c r="E36" i="7"/>
  <c r="C36" i="7"/>
  <c r="O35" i="7"/>
  <c r="G35" i="7"/>
  <c r="E35" i="7"/>
  <c r="C35" i="7"/>
  <c r="O34" i="7"/>
  <c r="G34" i="7"/>
  <c r="E34" i="7"/>
  <c r="C34" i="7"/>
  <c r="O33" i="7"/>
  <c r="G33" i="7"/>
  <c r="E33" i="7"/>
  <c r="C33" i="7"/>
  <c r="O32" i="7"/>
  <c r="G32" i="7"/>
  <c r="E32" i="7"/>
  <c r="C32" i="7"/>
  <c r="O31" i="7"/>
  <c r="G31" i="7"/>
  <c r="E31" i="7"/>
  <c r="C31" i="7"/>
  <c r="O30" i="7"/>
  <c r="G30" i="7"/>
  <c r="E30" i="7"/>
  <c r="C30" i="7"/>
  <c r="O29" i="7"/>
  <c r="G29" i="7"/>
  <c r="E29" i="7"/>
  <c r="C29" i="7"/>
  <c r="O28" i="7"/>
  <c r="G28" i="7"/>
  <c r="E28" i="7"/>
  <c r="C28" i="7"/>
  <c r="O27" i="7"/>
  <c r="G27" i="7"/>
  <c r="E27" i="7"/>
  <c r="C27" i="7"/>
  <c r="O26" i="7"/>
  <c r="G26" i="7"/>
  <c r="E26" i="7"/>
  <c r="C26" i="7"/>
  <c r="O25" i="7"/>
  <c r="G25" i="7"/>
  <c r="E25" i="7"/>
  <c r="C25" i="7"/>
  <c r="O24" i="7"/>
  <c r="G24" i="7"/>
  <c r="E24" i="7"/>
  <c r="C24" i="7"/>
  <c r="O23" i="7"/>
  <c r="G23" i="7"/>
  <c r="E23" i="7"/>
  <c r="C23" i="7"/>
  <c r="O22" i="7"/>
  <c r="G22" i="7"/>
  <c r="E22" i="7"/>
  <c r="C22" i="7"/>
  <c r="O21" i="7"/>
  <c r="G21" i="7"/>
  <c r="E21" i="7"/>
  <c r="C21" i="7"/>
  <c r="O20" i="7"/>
  <c r="G20" i="7"/>
  <c r="E20" i="7"/>
  <c r="C20" i="7"/>
  <c r="O19" i="7"/>
  <c r="G19" i="7"/>
  <c r="E19" i="7"/>
  <c r="C19" i="7"/>
  <c r="O18" i="7"/>
  <c r="G18" i="7"/>
  <c r="E18" i="7"/>
  <c r="C18" i="7"/>
  <c r="O17" i="7"/>
  <c r="G17" i="7"/>
  <c r="E17" i="7"/>
  <c r="C17" i="7"/>
  <c r="O16" i="7"/>
  <c r="G16" i="7"/>
  <c r="E16" i="7"/>
  <c r="C16" i="7"/>
  <c r="O15" i="7"/>
  <c r="G15" i="7"/>
  <c r="E15" i="7"/>
  <c r="C15" i="7"/>
  <c r="O14" i="7"/>
  <c r="G14" i="7"/>
  <c r="E14" i="7"/>
  <c r="C14" i="7"/>
  <c r="O13" i="7"/>
  <c r="G13" i="7"/>
  <c r="E13" i="7"/>
  <c r="C13" i="7"/>
  <c r="O12" i="7"/>
  <c r="G12" i="7"/>
  <c r="E12" i="7"/>
  <c r="C12" i="7"/>
  <c r="O11" i="7"/>
  <c r="G11" i="7"/>
  <c r="E11" i="7"/>
  <c r="C11" i="7"/>
  <c r="O10" i="7"/>
  <c r="G10" i="7"/>
  <c r="E10" i="7"/>
  <c r="C10" i="7"/>
  <c r="O9" i="7"/>
  <c r="G9" i="7"/>
  <c r="E9" i="7"/>
  <c r="C9" i="7"/>
  <c r="O8" i="7"/>
  <c r="G8" i="7"/>
  <c r="E8" i="7"/>
  <c r="C8" i="7"/>
  <c r="O7" i="7"/>
  <c r="G7" i="7"/>
  <c r="E7" i="7"/>
  <c r="C7" i="7"/>
  <c r="O6" i="7"/>
  <c r="G6" i="7"/>
  <c r="E6" i="7"/>
  <c r="C6" i="7"/>
  <c r="O5" i="7"/>
  <c r="G5" i="7"/>
  <c r="E5" i="7"/>
  <c r="C5" i="7"/>
  <c r="O4" i="7"/>
  <c r="G4" i="7"/>
  <c r="E4" i="7"/>
  <c r="C4" i="7"/>
  <c r="O3" i="7"/>
  <c r="G3" i="7"/>
  <c r="E3" i="7"/>
  <c r="C3" i="7"/>
  <c r="O2" i="7"/>
  <c r="G2" i="7"/>
  <c r="E2" i="7"/>
  <c r="C2" i="7"/>
  <c r="O166" i="5"/>
  <c r="G166" i="5"/>
  <c r="E166" i="5"/>
  <c r="C166" i="5"/>
  <c r="O165" i="5"/>
  <c r="G165" i="5"/>
  <c r="E165" i="5"/>
  <c r="C165" i="5"/>
  <c r="O164" i="5"/>
  <c r="G164" i="5"/>
  <c r="E164" i="5"/>
  <c r="C164" i="5"/>
  <c r="O163" i="5"/>
  <c r="G163" i="5"/>
  <c r="E163" i="5"/>
  <c r="C163" i="5"/>
  <c r="O162" i="5"/>
  <c r="G162" i="5"/>
  <c r="E162" i="5"/>
  <c r="C162" i="5"/>
  <c r="O161" i="5"/>
  <c r="G161" i="5"/>
  <c r="E161" i="5"/>
  <c r="C161" i="5"/>
  <c r="O160" i="5"/>
  <c r="G160" i="5"/>
  <c r="E160" i="5"/>
  <c r="C160" i="5"/>
  <c r="O159" i="5"/>
  <c r="G159" i="5"/>
  <c r="E159" i="5"/>
  <c r="C159" i="5"/>
  <c r="O158" i="5"/>
  <c r="G158" i="5"/>
  <c r="E158" i="5"/>
  <c r="C158" i="5"/>
  <c r="O157" i="5"/>
  <c r="G157" i="5"/>
  <c r="E157" i="5"/>
  <c r="C157" i="5"/>
  <c r="O156" i="5"/>
  <c r="G156" i="5"/>
  <c r="E156" i="5"/>
  <c r="C156" i="5"/>
  <c r="O155" i="5"/>
  <c r="G155" i="5"/>
  <c r="E155" i="5"/>
  <c r="C155" i="5"/>
  <c r="O154" i="5"/>
  <c r="G154" i="5"/>
  <c r="E154" i="5"/>
  <c r="C154" i="5"/>
  <c r="O153" i="5"/>
  <c r="G153" i="5"/>
  <c r="E153" i="5"/>
  <c r="C153" i="5"/>
  <c r="O152" i="5"/>
  <c r="G152" i="5"/>
  <c r="E152" i="5"/>
  <c r="C152" i="5"/>
  <c r="O151" i="5"/>
  <c r="G151" i="5"/>
  <c r="E151" i="5"/>
  <c r="C151" i="5"/>
  <c r="O150" i="5"/>
  <c r="G150" i="5"/>
  <c r="E150" i="5"/>
  <c r="C150" i="5"/>
  <c r="O149" i="5"/>
  <c r="G149" i="5"/>
  <c r="E149" i="5"/>
  <c r="C149" i="5"/>
  <c r="O148" i="5"/>
  <c r="G148" i="5"/>
  <c r="E148" i="5"/>
  <c r="C148" i="5"/>
  <c r="O147" i="5"/>
  <c r="G147" i="5"/>
  <c r="E147" i="5"/>
  <c r="C147" i="5"/>
  <c r="O146" i="5"/>
  <c r="G146" i="5"/>
  <c r="E146" i="5"/>
  <c r="C146" i="5"/>
  <c r="O145" i="5"/>
  <c r="G145" i="5"/>
  <c r="E145" i="5"/>
  <c r="C145" i="5"/>
  <c r="O144" i="5"/>
  <c r="G144" i="5"/>
  <c r="E144" i="5"/>
  <c r="C144" i="5"/>
  <c r="O143" i="5"/>
  <c r="G143" i="5"/>
  <c r="E143" i="5"/>
  <c r="C143" i="5"/>
  <c r="O142" i="5"/>
  <c r="G142" i="5"/>
  <c r="E142" i="5"/>
  <c r="C142" i="5"/>
  <c r="O141" i="5"/>
  <c r="G141" i="5"/>
  <c r="E141" i="5"/>
  <c r="C141" i="5"/>
  <c r="O140" i="5"/>
  <c r="G140" i="5"/>
  <c r="E140" i="5"/>
  <c r="C140" i="5"/>
  <c r="O139" i="5"/>
  <c r="G139" i="5"/>
  <c r="E139" i="5"/>
  <c r="C139" i="5"/>
  <c r="O138" i="5"/>
  <c r="G138" i="5"/>
  <c r="E138" i="5"/>
  <c r="C138" i="5"/>
  <c r="O137" i="5"/>
  <c r="G137" i="5"/>
  <c r="E137" i="5"/>
  <c r="C137" i="5"/>
  <c r="O136" i="5"/>
  <c r="G136" i="5"/>
  <c r="E136" i="5"/>
  <c r="C136" i="5"/>
  <c r="O135" i="5"/>
  <c r="G135" i="5"/>
  <c r="E135" i="5"/>
  <c r="C135" i="5"/>
  <c r="O134" i="5"/>
  <c r="G134" i="5"/>
  <c r="E134" i="5"/>
  <c r="C134" i="5"/>
  <c r="O133" i="5"/>
  <c r="G133" i="5"/>
  <c r="E133" i="5"/>
  <c r="C133" i="5"/>
  <c r="O132" i="5"/>
  <c r="G132" i="5"/>
  <c r="E132" i="5"/>
  <c r="C132" i="5"/>
  <c r="O131" i="5"/>
  <c r="G131" i="5"/>
  <c r="E131" i="5"/>
  <c r="C131" i="5"/>
  <c r="O130" i="5"/>
  <c r="G130" i="5"/>
  <c r="E130" i="5"/>
  <c r="C130" i="5"/>
  <c r="O129" i="5"/>
  <c r="G129" i="5"/>
  <c r="E129" i="5"/>
  <c r="C129" i="5"/>
  <c r="O128" i="5"/>
  <c r="G128" i="5"/>
  <c r="E128" i="5"/>
  <c r="C128" i="5"/>
  <c r="O127" i="5"/>
  <c r="G127" i="5"/>
  <c r="E127" i="5"/>
  <c r="C127" i="5"/>
  <c r="O126" i="5"/>
  <c r="G126" i="5"/>
  <c r="E126" i="5"/>
  <c r="C126" i="5"/>
  <c r="O125" i="5"/>
  <c r="G125" i="5"/>
  <c r="E125" i="5"/>
  <c r="C125" i="5"/>
  <c r="O124" i="5"/>
  <c r="G124" i="5"/>
  <c r="E124" i="5"/>
  <c r="C124" i="5"/>
  <c r="O123" i="5"/>
  <c r="G123" i="5"/>
  <c r="E123" i="5"/>
  <c r="C123" i="5"/>
  <c r="O122" i="5"/>
  <c r="G122" i="5"/>
  <c r="E122" i="5"/>
  <c r="C122" i="5"/>
  <c r="O121" i="5"/>
  <c r="G121" i="5"/>
  <c r="E121" i="5"/>
  <c r="C121" i="5"/>
  <c r="O120" i="5"/>
  <c r="G120" i="5"/>
  <c r="E120" i="5"/>
  <c r="C120" i="5"/>
  <c r="O119" i="5"/>
  <c r="G119" i="5"/>
  <c r="E119" i="5"/>
  <c r="C119" i="5"/>
  <c r="O118" i="5"/>
  <c r="G118" i="5"/>
  <c r="E118" i="5"/>
  <c r="C118" i="5"/>
  <c r="O117" i="5"/>
  <c r="G117" i="5"/>
  <c r="E117" i="5"/>
  <c r="C117" i="5"/>
  <c r="O116" i="5"/>
  <c r="G116" i="5"/>
  <c r="E116" i="5"/>
  <c r="C116" i="5"/>
  <c r="O115" i="5"/>
  <c r="G115" i="5"/>
  <c r="E115" i="5"/>
  <c r="C115" i="5"/>
  <c r="O114" i="5"/>
  <c r="G114" i="5"/>
  <c r="E114" i="5"/>
  <c r="C114" i="5"/>
  <c r="O113" i="5"/>
  <c r="G113" i="5"/>
  <c r="E113" i="5"/>
  <c r="C113" i="5"/>
  <c r="O112" i="5"/>
  <c r="G112" i="5"/>
  <c r="E112" i="5"/>
  <c r="C112" i="5"/>
  <c r="O111" i="5"/>
  <c r="G111" i="5"/>
  <c r="E111" i="5"/>
  <c r="C111" i="5"/>
  <c r="O110" i="5"/>
  <c r="G110" i="5"/>
  <c r="E110" i="5"/>
  <c r="C110" i="5"/>
  <c r="O109" i="5"/>
  <c r="G109" i="5"/>
  <c r="E109" i="5"/>
  <c r="C109" i="5"/>
  <c r="O108" i="5"/>
  <c r="G108" i="5"/>
  <c r="E108" i="5"/>
  <c r="C108" i="5"/>
  <c r="O107" i="5"/>
  <c r="G107" i="5"/>
  <c r="E107" i="5"/>
  <c r="C107" i="5"/>
  <c r="O106" i="5"/>
  <c r="G106" i="5"/>
  <c r="E106" i="5"/>
  <c r="C106" i="5"/>
  <c r="O105" i="5"/>
  <c r="G105" i="5"/>
  <c r="E105" i="5"/>
  <c r="C105" i="5"/>
  <c r="O104" i="5"/>
  <c r="G104" i="5"/>
  <c r="E104" i="5"/>
  <c r="C104" i="5"/>
  <c r="O103" i="5"/>
  <c r="G103" i="5"/>
  <c r="E103" i="5"/>
  <c r="C103" i="5"/>
  <c r="O102" i="5"/>
  <c r="G102" i="5"/>
  <c r="E102" i="5"/>
  <c r="C102" i="5"/>
  <c r="O101" i="5"/>
  <c r="G101" i="5"/>
  <c r="E101" i="5"/>
  <c r="C101" i="5"/>
  <c r="O100" i="5"/>
  <c r="G100" i="5"/>
  <c r="E100" i="5"/>
  <c r="C100" i="5"/>
  <c r="O99" i="5"/>
  <c r="G99" i="5"/>
  <c r="E99" i="5"/>
  <c r="C99" i="5"/>
  <c r="O98" i="5"/>
  <c r="G98" i="5"/>
  <c r="E98" i="5"/>
  <c r="C98" i="5"/>
  <c r="O97" i="5"/>
  <c r="G97" i="5"/>
  <c r="E97" i="5"/>
  <c r="C97" i="5"/>
  <c r="O96" i="5"/>
  <c r="G96" i="5"/>
  <c r="E96" i="5"/>
  <c r="C96" i="5"/>
  <c r="O95" i="5"/>
  <c r="G95" i="5"/>
  <c r="E95" i="5"/>
  <c r="C95" i="5"/>
  <c r="O94" i="5"/>
  <c r="G94" i="5"/>
  <c r="E94" i="5"/>
  <c r="C94" i="5"/>
  <c r="O93" i="5"/>
  <c r="G93" i="5"/>
  <c r="E93" i="5"/>
  <c r="C93" i="5"/>
  <c r="O92" i="5"/>
  <c r="G92" i="5"/>
  <c r="E92" i="5"/>
  <c r="C92" i="5"/>
  <c r="O91" i="5"/>
  <c r="G91" i="5"/>
  <c r="E91" i="5"/>
  <c r="C91" i="5"/>
  <c r="O90" i="5"/>
  <c r="G90" i="5"/>
  <c r="E90" i="5"/>
  <c r="C90" i="5"/>
  <c r="O89" i="5"/>
  <c r="G89" i="5"/>
  <c r="E89" i="5"/>
  <c r="C89" i="5"/>
  <c r="O88" i="5"/>
  <c r="G88" i="5"/>
  <c r="E88" i="5"/>
  <c r="C88" i="5"/>
  <c r="O87" i="5"/>
  <c r="G87" i="5"/>
  <c r="E87" i="5"/>
  <c r="C87" i="5"/>
  <c r="O86" i="5"/>
  <c r="G86" i="5"/>
  <c r="E86" i="5"/>
  <c r="C86" i="5"/>
  <c r="O85" i="5"/>
  <c r="G85" i="5"/>
  <c r="E85" i="5"/>
  <c r="C85" i="5"/>
  <c r="O84" i="5"/>
  <c r="G84" i="5"/>
  <c r="E84" i="5"/>
  <c r="C84" i="5"/>
  <c r="O83" i="5"/>
  <c r="G83" i="5"/>
  <c r="E83" i="5"/>
  <c r="C83" i="5"/>
  <c r="O82" i="5"/>
  <c r="G82" i="5"/>
  <c r="E82" i="5"/>
  <c r="C82" i="5"/>
  <c r="O81" i="5"/>
  <c r="G81" i="5"/>
  <c r="E81" i="5"/>
  <c r="C81" i="5"/>
  <c r="O80" i="5"/>
  <c r="G80" i="5"/>
  <c r="E80" i="5"/>
  <c r="C80" i="5"/>
  <c r="O79" i="5"/>
  <c r="G79" i="5"/>
  <c r="E79" i="5"/>
  <c r="C79" i="5"/>
  <c r="O78" i="5"/>
  <c r="G78" i="5"/>
  <c r="E78" i="5"/>
  <c r="C78" i="5"/>
  <c r="O77" i="5"/>
  <c r="G77" i="5"/>
  <c r="E77" i="5"/>
  <c r="C77" i="5"/>
  <c r="O76" i="5"/>
  <c r="G76" i="5"/>
  <c r="E76" i="5"/>
  <c r="C76" i="5"/>
  <c r="O75" i="5"/>
  <c r="G75" i="5"/>
  <c r="E75" i="5"/>
  <c r="C75" i="5"/>
  <c r="O74" i="5"/>
  <c r="G74" i="5"/>
  <c r="E74" i="5"/>
  <c r="C74" i="5"/>
  <c r="O73" i="5"/>
  <c r="G73" i="5"/>
  <c r="E73" i="5"/>
  <c r="C73" i="5"/>
  <c r="O72" i="5"/>
  <c r="G72" i="5"/>
  <c r="E72" i="5"/>
  <c r="C72" i="5"/>
  <c r="O71" i="5"/>
  <c r="G71" i="5"/>
  <c r="E71" i="5"/>
  <c r="C71" i="5"/>
  <c r="O70" i="5"/>
  <c r="G70" i="5"/>
  <c r="E70" i="5"/>
  <c r="C70" i="5"/>
  <c r="O69" i="5"/>
  <c r="G69" i="5"/>
  <c r="E69" i="5"/>
  <c r="C69" i="5"/>
  <c r="O68" i="5"/>
  <c r="G68" i="5"/>
  <c r="E68" i="5"/>
  <c r="C68" i="5"/>
  <c r="O67" i="5"/>
  <c r="G67" i="5"/>
  <c r="E67" i="5"/>
  <c r="C67" i="5"/>
  <c r="O66" i="5"/>
  <c r="G66" i="5"/>
  <c r="E66" i="5"/>
  <c r="C66" i="5"/>
  <c r="O65" i="5"/>
  <c r="G65" i="5"/>
  <c r="E65" i="5"/>
  <c r="C65" i="5"/>
  <c r="O64" i="5"/>
  <c r="G64" i="5"/>
  <c r="E64" i="5"/>
  <c r="C64" i="5"/>
  <c r="O63" i="5"/>
  <c r="G63" i="5"/>
  <c r="E63" i="5"/>
  <c r="C63" i="5"/>
  <c r="O62" i="5"/>
  <c r="G62" i="5"/>
  <c r="E62" i="5"/>
  <c r="C62" i="5"/>
  <c r="O61" i="5"/>
  <c r="G61" i="5"/>
  <c r="E61" i="5"/>
  <c r="C61" i="5"/>
  <c r="O60" i="5"/>
  <c r="G60" i="5"/>
  <c r="E60" i="5"/>
  <c r="C60" i="5"/>
  <c r="O59" i="5"/>
  <c r="G59" i="5"/>
  <c r="E59" i="5"/>
  <c r="C59" i="5"/>
  <c r="O58" i="5"/>
  <c r="G58" i="5"/>
  <c r="E58" i="5"/>
  <c r="C58" i="5"/>
  <c r="O57" i="5"/>
  <c r="G57" i="5"/>
  <c r="E57" i="5"/>
  <c r="C57" i="5"/>
  <c r="O56" i="5"/>
  <c r="G56" i="5"/>
  <c r="E56" i="5"/>
  <c r="C56" i="5"/>
  <c r="O55" i="5"/>
  <c r="G55" i="5"/>
  <c r="E55" i="5"/>
  <c r="C55" i="5"/>
  <c r="O54" i="5"/>
  <c r="G54" i="5"/>
  <c r="E54" i="5"/>
  <c r="C54" i="5"/>
  <c r="O53" i="5"/>
  <c r="G53" i="5"/>
  <c r="E53" i="5"/>
  <c r="C53" i="5"/>
  <c r="O52" i="5"/>
  <c r="G52" i="5"/>
  <c r="E52" i="5"/>
  <c r="C52" i="5"/>
  <c r="O51" i="5"/>
  <c r="G51" i="5"/>
  <c r="E51" i="5"/>
  <c r="C51" i="5"/>
  <c r="O50" i="5"/>
  <c r="G50" i="5"/>
  <c r="E50" i="5"/>
  <c r="C50" i="5"/>
  <c r="O49" i="5"/>
  <c r="G49" i="5"/>
  <c r="E49" i="5"/>
  <c r="C49" i="5"/>
  <c r="O48" i="5"/>
  <c r="G48" i="5"/>
  <c r="E48" i="5"/>
  <c r="C48" i="5"/>
  <c r="O47" i="5"/>
  <c r="G47" i="5"/>
  <c r="E47" i="5"/>
  <c r="C47" i="5"/>
  <c r="O46" i="5"/>
  <c r="G46" i="5"/>
  <c r="E46" i="5"/>
  <c r="C46" i="5"/>
  <c r="O45" i="5"/>
  <c r="G45" i="5"/>
  <c r="E45" i="5"/>
  <c r="C45" i="5"/>
  <c r="O44" i="5"/>
  <c r="G44" i="5"/>
  <c r="E44" i="5"/>
  <c r="C44" i="5"/>
  <c r="O43" i="5"/>
  <c r="G43" i="5"/>
  <c r="E43" i="5"/>
  <c r="C43" i="5"/>
  <c r="O42" i="5"/>
  <c r="G42" i="5"/>
  <c r="E42" i="5"/>
  <c r="C42" i="5"/>
  <c r="O41" i="5"/>
  <c r="G41" i="5"/>
  <c r="E41" i="5"/>
  <c r="C41" i="5"/>
  <c r="O40" i="5"/>
  <c r="G40" i="5"/>
  <c r="E40" i="5"/>
  <c r="C40" i="5"/>
  <c r="O39" i="5"/>
  <c r="G39" i="5"/>
  <c r="E39" i="5"/>
  <c r="C39" i="5"/>
  <c r="O38" i="5"/>
  <c r="G38" i="5"/>
  <c r="E38" i="5"/>
  <c r="C38" i="5"/>
  <c r="O37" i="5"/>
  <c r="G37" i="5"/>
  <c r="E37" i="5"/>
  <c r="C37" i="5"/>
  <c r="O36" i="5"/>
  <c r="G36" i="5"/>
  <c r="E36" i="5"/>
  <c r="C36" i="5"/>
  <c r="O35" i="5"/>
  <c r="G35" i="5"/>
  <c r="E35" i="5"/>
  <c r="C35" i="5"/>
  <c r="O34" i="5"/>
  <c r="G34" i="5"/>
  <c r="E34" i="5"/>
  <c r="C34" i="5"/>
  <c r="O33" i="5"/>
  <c r="G33" i="5"/>
  <c r="E33" i="5"/>
  <c r="C33" i="5"/>
  <c r="O32" i="5"/>
  <c r="G32" i="5"/>
  <c r="E32" i="5"/>
  <c r="C32" i="5"/>
  <c r="O31" i="5"/>
  <c r="G31" i="5"/>
  <c r="E31" i="5"/>
  <c r="C31" i="5"/>
  <c r="O30" i="5"/>
  <c r="G30" i="5"/>
  <c r="E30" i="5"/>
  <c r="C30" i="5"/>
  <c r="O29" i="5"/>
  <c r="G29" i="5"/>
  <c r="E29" i="5"/>
  <c r="C29" i="5"/>
  <c r="O28" i="5"/>
  <c r="G28" i="5"/>
  <c r="E28" i="5"/>
  <c r="C28" i="5"/>
  <c r="O27" i="5"/>
  <c r="G27" i="5"/>
  <c r="E27" i="5"/>
  <c r="C27" i="5"/>
  <c r="O26" i="5"/>
  <c r="G26" i="5"/>
  <c r="E26" i="5"/>
  <c r="C26" i="5"/>
  <c r="O25" i="5"/>
  <c r="G25" i="5"/>
  <c r="E25" i="5"/>
  <c r="C25" i="5"/>
  <c r="O24" i="5"/>
  <c r="G24" i="5"/>
  <c r="E24" i="5"/>
  <c r="C24" i="5"/>
  <c r="O23" i="5"/>
  <c r="G23" i="5"/>
  <c r="E23" i="5"/>
  <c r="C23" i="5"/>
  <c r="O22" i="5"/>
  <c r="G22" i="5"/>
  <c r="E22" i="5"/>
  <c r="C22" i="5"/>
  <c r="O21" i="5"/>
  <c r="G21" i="5"/>
  <c r="E21" i="5"/>
  <c r="C21" i="5"/>
  <c r="O20" i="5"/>
  <c r="G20" i="5"/>
  <c r="E20" i="5"/>
  <c r="C20" i="5"/>
  <c r="O19" i="5"/>
  <c r="G19" i="5"/>
  <c r="E19" i="5"/>
  <c r="C19" i="5"/>
  <c r="O18" i="5"/>
  <c r="G18" i="5"/>
  <c r="E18" i="5"/>
  <c r="C18" i="5"/>
  <c r="O17" i="5"/>
  <c r="G17" i="5"/>
  <c r="E17" i="5"/>
  <c r="C17" i="5"/>
  <c r="O16" i="5"/>
  <c r="G16" i="5"/>
  <c r="E16" i="5"/>
  <c r="C16" i="5"/>
  <c r="O15" i="5"/>
  <c r="G15" i="5"/>
  <c r="E15" i="5"/>
  <c r="C15" i="5"/>
  <c r="O14" i="5"/>
  <c r="G14" i="5"/>
  <c r="E14" i="5"/>
  <c r="C14" i="5"/>
  <c r="O13" i="5"/>
  <c r="G13" i="5"/>
  <c r="E13" i="5"/>
  <c r="C13" i="5"/>
  <c r="O12" i="5"/>
  <c r="G12" i="5"/>
  <c r="E12" i="5"/>
  <c r="C12" i="5"/>
  <c r="O11" i="5"/>
  <c r="G11" i="5"/>
  <c r="E11" i="5"/>
  <c r="C11" i="5"/>
  <c r="O10" i="5"/>
  <c r="G10" i="5"/>
  <c r="E10" i="5"/>
  <c r="C10" i="5"/>
  <c r="O9" i="5"/>
  <c r="G9" i="5"/>
  <c r="E9" i="5"/>
  <c r="C9" i="5"/>
  <c r="O8" i="5"/>
  <c r="G8" i="5"/>
  <c r="E8" i="5"/>
  <c r="C8" i="5"/>
  <c r="O7" i="5"/>
  <c r="G7" i="5"/>
  <c r="E7" i="5"/>
  <c r="C7" i="5"/>
  <c r="O6" i="5"/>
  <c r="G6" i="5"/>
  <c r="E6" i="5"/>
  <c r="C6" i="5"/>
  <c r="O5" i="5"/>
  <c r="G5" i="5"/>
  <c r="E5" i="5"/>
  <c r="C5" i="5"/>
  <c r="O4" i="5"/>
  <c r="G4" i="5"/>
  <c r="E4" i="5"/>
  <c r="C4" i="5"/>
  <c r="O3" i="5"/>
  <c r="G3" i="5"/>
  <c r="E3" i="5"/>
  <c r="C3" i="5"/>
  <c r="O2" i="5"/>
  <c r="G2" i="5"/>
  <c r="E2" i="5"/>
  <c r="C2" i="5"/>
  <c r="O67" i="4"/>
  <c r="G67" i="4"/>
  <c r="E67" i="4"/>
  <c r="C67" i="4"/>
  <c r="O66" i="4"/>
  <c r="G66" i="4"/>
  <c r="E66" i="4"/>
  <c r="C66" i="4"/>
  <c r="O65" i="4"/>
  <c r="G65" i="4"/>
  <c r="E65" i="4"/>
  <c r="C65" i="4"/>
  <c r="O64" i="4"/>
  <c r="G64" i="4"/>
  <c r="E64" i="4"/>
  <c r="C64" i="4"/>
  <c r="O63" i="4"/>
  <c r="G63" i="4"/>
  <c r="E63" i="4"/>
  <c r="C63" i="4"/>
  <c r="O62" i="4"/>
  <c r="G62" i="4"/>
  <c r="E62" i="4"/>
  <c r="C62" i="4"/>
  <c r="O61" i="4"/>
  <c r="G61" i="4"/>
  <c r="E61" i="4"/>
  <c r="C61" i="4"/>
  <c r="O60" i="4"/>
  <c r="G60" i="4"/>
  <c r="E60" i="4"/>
  <c r="C60" i="4"/>
  <c r="O59" i="4"/>
  <c r="G59" i="4"/>
  <c r="E59" i="4"/>
  <c r="C59" i="4"/>
  <c r="O58" i="4"/>
  <c r="G58" i="4"/>
  <c r="E58" i="4"/>
  <c r="C58" i="4"/>
  <c r="O57" i="4"/>
  <c r="G57" i="4"/>
  <c r="E57" i="4"/>
  <c r="C57" i="4"/>
  <c r="O56" i="4"/>
  <c r="G56" i="4"/>
  <c r="E56" i="4"/>
  <c r="C56" i="4"/>
  <c r="O55" i="4"/>
  <c r="G55" i="4"/>
  <c r="E55" i="4"/>
  <c r="C55" i="4"/>
  <c r="O54" i="4"/>
  <c r="G54" i="4"/>
  <c r="E54" i="4"/>
  <c r="C54" i="4"/>
  <c r="O53" i="4"/>
  <c r="G53" i="4"/>
  <c r="E53" i="4"/>
  <c r="C53" i="4"/>
  <c r="O52" i="4"/>
  <c r="G52" i="4"/>
  <c r="E52" i="4"/>
  <c r="C52" i="4"/>
  <c r="O51" i="4"/>
  <c r="G51" i="4"/>
  <c r="E51" i="4"/>
  <c r="C51" i="4"/>
  <c r="O50" i="4"/>
  <c r="G50" i="4"/>
  <c r="E50" i="4"/>
  <c r="C50" i="4"/>
  <c r="O49" i="4"/>
  <c r="G49" i="4"/>
  <c r="E49" i="4"/>
  <c r="C49" i="4"/>
  <c r="O48" i="4"/>
  <c r="G48" i="4"/>
  <c r="E48" i="4"/>
  <c r="C48" i="4"/>
  <c r="O47" i="4"/>
  <c r="G47" i="4"/>
  <c r="E47" i="4"/>
  <c r="C47" i="4"/>
  <c r="O46" i="4"/>
  <c r="G46" i="4"/>
  <c r="E46" i="4"/>
  <c r="C46" i="4"/>
  <c r="O45" i="4"/>
  <c r="G45" i="4"/>
  <c r="E45" i="4"/>
  <c r="C45" i="4"/>
  <c r="O44" i="4"/>
  <c r="G44" i="4"/>
  <c r="E44" i="4"/>
  <c r="C44" i="4"/>
  <c r="O43" i="4"/>
  <c r="G43" i="4"/>
  <c r="E43" i="4"/>
  <c r="C43" i="4"/>
  <c r="O42" i="4"/>
  <c r="G42" i="4"/>
  <c r="E42" i="4"/>
  <c r="C42" i="4"/>
  <c r="O41" i="4"/>
  <c r="G41" i="4"/>
  <c r="E41" i="4"/>
  <c r="C41" i="4"/>
  <c r="O40" i="4"/>
  <c r="G40" i="4"/>
  <c r="E40" i="4"/>
  <c r="C40" i="4"/>
  <c r="O39" i="4"/>
  <c r="G39" i="4"/>
  <c r="E39" i="4"/>
  <c r="C39" i="4"/>
  <c r="O38" i="4"/>
  <c r="G38" i="4"/>
  <c r="E38" i="4"/>
  <c r="C38" i="4"/>
  <c r="O37" i="4"/>
  <c r="G37" i="4"/>
  <c r="E37" i="4"/>
  <c r="C37" i="4"/>
  <c r="O36" i="4"/>
  <c r="G36" i="4"/>
  <c r="E36" i="4"/>
  <c r="C36" i="4"/>
  <c r="O35" i="4"/>
  <c r="G35" i="4"/>
  <c r="E35" i="4"/>
  <c r="C35" i="4"/>
  <c r="O34" i="4"/>
  <c r="G34" i="4"/>
  <c r="E34" i="4"/>
  <c r="C34" i="4"/>
  <c r="O33" i="4"/>
  <c r="G33" i="4"/>
  <c r="E33" i="4"/>
  <c r="C33" i="4"/>
  <c r="O32" i="4"/>
  <c r="G32" i="4"/>
  <c r="E32" i="4"/>
  <c r="C32" i="4"/>
  <c r="O31" i="4"/>
  <c r="G31" i="4"/>
  <c r="E31" i="4"/>
  <c r="C31" i="4"/>
  <c r="O30" i="4"/>
  <c r="G30" i="4"/>
  <c r="E30" i="4"/>
  <c r="C30" i="4"/>
  <c r="O29" i="4"/>
  <c r="G29" i="4"/>
  <c r="E29" i="4"/>
  <c r="C29" i="4"/>
  <c r="O28" i="4"/>
  <c r="G28" i="4"/>
  <c r="E28" i="4"/>
  <c r="C28" i="4"/>
  <c r="O27" i="4"/>
  <c r="G27" i="4"/>
  <c r="E27" i="4"/>
  <c r="C27" i="4"/>
  <c r="O26" i="4"/>
  <c r="G26" i="4"/>
  <c r="E26" i="4"/>
  <c r="C26" i="4"/>
  <c r="O25" i="4"/>
  <c r="G25" i="4"/>
  <c r="E25" i="4"/>
  <c r="C25" i="4"/>
  <c r="O24" i="4"/>
  <c r="G24" i="4"/>
  <c r="E24" i="4"/>
  <c r="C24" i="4"/>
  <c r="O23" i="4"/>
  <c r="G23" i="4"/>
  <c r="E23" i="4"/>
  <c r="C23" i="4"/>
  <c r="O22" i="4"/>
  <c r="G22" i="4"/>
  <c r="E22" i="4"/>
  <c r="C22" i="4"/>
  <c r="O21" i="4"/>
  <c r="G21" i="4"/>
  <c r="E21" i="4"/>
  <c r="C21" i="4"/>
  <c r="O20" i="4"/>
  <c r="G20" i="4"/>
  <c r="E20" i="4"/>
  <c r="C20" i="4"/>
  <c r="O19" i="4"/>
  <c r="G19" i="4"/>
  <c r="E19" i="4"/>
  <c r="C19" i="4"/>
  <c r="O18" i="4"/>
  <c r="G18" i="4"/>
  <c r="E18" i="4"/>
  <c r="C18" i="4"/>
  <c r="O17" i="4"/>
  <c r="G17" i="4"/>
  <c r="E17" i="4"/>
  <c r="C17" i="4"/>
  <c r="O16" i="4"/>
  <c r="G16" i="4"/>
  <c r="E16" i="4"/>
  <c r="C16" i="4"/>
  <c r="O15" i="4"/>
  <c r="G15" i="4"/>
  <c r="E15" i="4"/>
  <c r="C15" i="4"/>
  <c r="O14" i="4"/>
  <c r="G14" i="4"/>
  <c r="E14" i="4"/>
  <c r="C14" i="4"/>
  <c r="O13" i="4"/>
  <c r="G13" i="4"/>
  <c r="E13" i="4"/>
  <c r="C13" i="4"/>
  <c r="O12" i="4"/>
  <c r="G12" i="4"/>
  <c r="E12" i="4"/>
  <c r="C12" i="4"/>
  <c r="O11" i="4"/>
  <c r="G11" i="4"/>
  <c r="E11" i="4"/>
  <c r="C11" i="4"/>
  <c r="O10" i="4"/>
  <c r="G10" i="4"/>
  <c r="E10" i="4"/>
  <c r="C10" i="4"/>
  <c r="O9" i="4"/>
  <c r="G9" i="4"/>
  <c r="E9" i="4"/>
  <c r="C9" i="4"/>
  <c r="O8" i="4"/>
  <c r="G8" i="4"/>
  <c r="E8" i="4"/>
  <c r="C8" i="4"/>
  <c r="O7" i="4"/>
  <c r="G7" i="4"/>
  <c r="E7" i="4"/>
  <c r="C7" i="4"/>
  <c r="O6" i="4"/>
  <c r="G6" i="4"/>
  <c r="E6" i="4"/>
  <c r="C6" i="4"/>
  <c r="O5" i="4"/>
  <c r="G5" i="4"/>
  <c r="E5" i="4"/>
  <c r="C5" i="4"/>
  <c r="O4" i="4"/>
  <c r="G4" i="4"/>
  <c r="E4" i="4"/>
  <c r="C4" i="4"/>
  <c r="O3" i="4"/>
  <c r="G3" i="4"/>
  <c r="E3" i="4"/>
  <c r="C3" i="4"/>
  <c r="O2" i="4"/>
  <c r="G2" i="4"/>
  <c r="E2" i="4"/>
  <c r="C2" i="4"/>
</calcChain>
</file>

<file path=xl/sharedStrings.xml><?xml version="1.0" encoding="utf-8"?>
<sst xmlns="http://schemas.openxmlformats.org/spreadsheetml/2006/main" count="7463" uniqueCount="1495">
  <si>
    <t>Dragon</t>
    <phoneticPr fontId="1"/>
  </si>
  <si>
    <t>Neutral</t>
  </si>
  <si>
    <t>Neutral</t>
    <phoneticPr fontId="1"/>
  </si>
  <si>
    <t>Follower</t>
  </si>
  <si>
    <t>Follower</t>
    <phoneticPr fontId="1"/>
  </si>
  <si>
    <t>Spell</t>
    <phoneticPr fontId="1"/>
  </si>
  <si>
    <t>Amulet</t>
    <phoneticPr fontId="1"/>
  </si>
  <si>
    <t>Name</t>
  </si>
  <si>
    <t>Cost</t>
  </si>
  <si>
    <t>Attack</t>
  </si>
  <si>
    <t>Bronze</t>
  </si>
  <si>
    <t>Bronze</t>
    <phoneticPr fontId="1"/>
  </si>
  <si>
    <t>Silver</t>
    <phoneticPr fontId="1"/>
  </si>
  <si>
    <t>Gold</t>
    <phoneticPr fontId="1"/>
  </si>
  <si>
    <t>Legend</t>
    <phoneticPr fontId="1"/>
  </si>
  <si>
    <t>Forest</t>
    <phoneticPr fontId="1"/>
  </si>
  <si>
    <t>Sword</t>
    <phoneticPr fontId="1"/>
  </si>
  <si>
    <t>Rune</t>
    <phoneticPr fontId="1"/>
  </si>
  <si>
    <t>Abyss</t>
    <phoneticPr fontId="1"/>
  </si>
  <si>
    <t>Haven</t>
    <phoneticPr fontId="1"/>
  </si>
  <si>
    <t>Portal</t>
    <phoneticPr fontId="1"/>
  </si>
  <si>
    <t>Gold</t>
  </si>
  <si>
    <t>Rune</t>
  </si>
  <si>
    <t>Spell</t>
  </si>
  <si>
    <t>Forest</t>
  </si>
  <si>
    <t>Sword</t>
  </si>
  <si>
    <t>Dragon</t>
  </si>
  <si>
    <t>Abyss</t>
  </si>
  <si>
    <t>Portal</t>
  </si>
  <si>
    <t>Haven</t>
  </si>
  <si>
    <t>Legend</t>
  </si>
  <si>
    <t>不屈のファイター</t>
    <rPh sb="0" eb="2">
      <t>フクツ</t>
    </rPh>
    <phoneticPr fontId="1"/>
  </si>
  <si>
    <t>ベルエンジェル・リア</t>
    <phoneticPr fontId="1"/>
  </si>
  <si>
    <t>激震のゴリアテ</t>
    <rPh sb="0" eb="2">
      <t>ゲキシン</t>
    </rPh>
    <phoneticPr fontId="1"/>
  </si>
  <si>
    <t>Amulet</t>
  </si>
  <si>
    <t>探偵のルーペ</t>
    <rPh sb="0" eb="2">
      <t>タンテイ</t>
    </rPh>
    <phoneticPr fontId="1"/>
  </si>
  <si>
    <t>Silver</t>
  </si>
  <si>
    <t>煌響の使者・アンリエット</t>
    <rPh sb="0" eb="1">
      <t>コウ</t>
    </rPh>
    <rPh sb="1" eb="2">
      <t>キョウ</t>
    </rPh>
    <rPh sb="3" eb="5">
      <t>シシャ</t>
    </rPh>
    <phoneticPr fontId="1"/>
  </si>
  <si>
    <t>キャラバンマンモス</t>
    <phoneticPr fontId="1"/>
  </si>
  <si>
    <t>フェアリーテイマー</t>
    <phoneticPr fontId="1"/>
  </si>
  <si>
    <t>ストレイビーストマン</t>
    <phoneticPr fontId="1"/>
  </si>
  <si>
    <t>温厚なるトレント</t>
    <rPh sb="0" eb="2">
      <t>オンコウ</t>
    </rPh>
    <phoneticPr fontId="1"/>
  </si>
  <si>
    <t>繚乱の庭</t>
    <rPh sb="0" eb="2">
      <t>リョウラン</t>
    </rPh>
    <rPh sb="3" eb="4">
      <t>ニワ</t>
    </rPh>
    <phoneticPr fontId="1"/>
  </si>
  <si>
    <t>アドベンチャーエルフ・メイ</t>
    <phoneticPr fontId="1"/>
  </si>
  <si>
    <t>ソニックアーチャー・セルウィン</t>
    <phoneticPr fontId="1"/>
  </si>
  <si>
    <t>虫の知らせ</t>
    <phoneticPr fontId="1"/>
  </si>
  <si>
    <t>刹那のクイックブレイダー</t>
    <phoneticPr fontId="1"/>
  </si>
  <si>
    <t>バトルマーチャント</t>
    <phoneticPr fontId="1"/>
  </si>
  <si>
    <t>ケンタウロスの騎士</t>
    <phoneticPr fontId="1"/>
  </si>
  <si>
    <t>メイドの作法</t>
    <phoneticPr fontId="1"/>
  </si>
  <si>
    <t>王家の御者</t>
    <phoneticPr fontId="1"/>
  </si>
  <si>
    <t>魔煌のトリックスター・ラスティ</t>
    <phoneticPr fontId="1"/>
  </si>
  <si>
    <t>正統なる王冠</t>
    <phoneticPr fontId="1"/>
  </si>
  <si>
    <t>閃光の魔法剣士</t>
    <phoneticPr fontId="1"/>
  </si>
  <si>
    <t>知恵の輝き</t>
    <phoneticPr fontId="1"/>
  </si>
  <si>
    <t>真理の召喚</t>
    <phoneticPr fontId="1"/>
  </si>
  <si>
    <t>魔女の錬金釜</t>
    <phoneticPr fontId="1"/>
  </si>
  <si>
    <t>相貌の魔女・レミラミ</t>
    <phoneticPr fontId="1"/>
  </si>
  <si>
    <t>ブレイズデストロイヤー</t>
    <phoneticPr fontId="1"/>
  </si>
  <si>
    <t>イラプション</t>
    <phoneticPr fontId="1"/>
  </si>
  <si>
    <t>烈火のファイアリザード</t>
    <phoneticPr fontId="1"/>
  </si>
  <si>
    <t>戦斧の竜殺し</t>
    <phoneticPr fontId="1"/>
  </si>
  <si>
    <t>シャークソルジャー</t>
    <phoneticPr fontId="1"/>
  </si>
  <si>
    <t>ドラゴニュートクラッシュ</t>
    <phoneticPr fontId="1"/>
  </si>
  <si>
    <t>猛撃のドラゴンウォーリアー</t>
    <phoneticPr fontId="1"/>
  </si>
  <si>
    <t>咆哮の竜使い</t>
    <phoneticPr fontId="1"/>
  </si>
  <si>
    <t>竜の啓示</t>
    <phoneticPr fontId="1"/>
  </si>
  <si>
    <t>悪辣のレッサーマミー</t>
    <phoneticPr fontId="1"/>
  </si>
  <si>
    <t>夜の鬼人</t>
    <phoneticPr fontId="1"/>
  </si>
  <si>
    <t>ウルフマスター</t>
    <phoneticPr fontId="1"/>
  </si>
  <si>
    <t>カオティックカース</t>
    <phoneticPr fontId="1"/>
  </si>
  <si>
    <t>魅惑のサキュバス・リリム</t>
    <phoneticPr fontId="1"/>
  </si>
  <si>
    <t>ラバーズネクロマンサー</t>
    <phoneticPr fontId="1"/>
  </si>
  <si>
    <t>魂の捕食</t>
    <phoneticPr fontId="1"/>
  </si>
  <si>
    <t>清純なる白狐</t>
    <phoneticPr fontId="1"/>
  </si>
  <si>
    <t>ウィングウォーリアー</t>
    <phoneticPr fontId="1"/>
  </si>
  <si>
    <t>癒しのシスター</t>
    <phoneticPr fontId="1"/>
  </si>
  <si>
    <t>投影の鳥像</t>
    <phoneticPr fontId="1"/>
  </si>
  <si>
    <t>鉄拳の神父</t>
    <phoneticPr fontId="1"/>
  </si>
  <si>
    <t>セイクリッドグリフォン</t>
    <phoneticPr fontId="1"/>
  </si>
  <si>
    <t>有翼の石像</t>
    <phoneticPr fontId="1"/>
  </si>
  <si>
    <t>マリオネットランサー</t>
    <phoneticPr fontId="1"/>
  </si>
  <si>
    <t>砲撃の猫獣人</t>
    <phoneticPr fontId="1"/>
  </si>
  <si>
    <t>獣性の鉄人</t>
    <phoneticPr fontId="1"/>
  </si>
  <si>
    <t>異次元からの銃撃</t>
    <phoneticPr fontId="1"/>
  </si>
  <si>
    <t>エレクトロウィッパー</t>
    <phoneticPr fontId="1"/>
  </si>
  <si>
    <t>魔鋼の騎兵</t>
    <phoneticPr fontId="1"/>
  </si>
  <si>
    <t>グリードケルブ・ルビィ</t>
    <phoneticPr fontId="1"/>
  </si>
  <si>
    <t>観察の探偵</t>
    <phoneticPr fontId="1"/>
  </si>
  <si>
    <t>ゴブリンの襲撃</t>
    <phoneticPr fontId="1"/>
  </si>
  <si>
    <t>迸る光明・アポロン</t>
    <phoneticPr fontId="1"/>
  </si>
  <si>
    <t>熾天使の福音</t>
    <phoneticPr fontId="1"/>
  </si>
  <si>
    <t>楽朗の天宮・フィルドア</t>
    <phoneticPr fontId="1"/>
  </si>
  <si>
    <t>神の雷霆</t>
    <phoneticPr fontId="1"/>
  </si>
  <si>
    <t>勇壮の堕天使・オリヴィエ</t>
    <phoneticPr fontId="1"/>
  </si>
  <si>
    <t>最果ての罪・サタン</t>
    <phoneticPr fontId="1"/>
  </si>
  <si>
    <t>舞い踊る妖精</t>
    <phoneticPr fontId="1"/>
  </si>
  <si>
    <t>コンタクトフェアリー</t>
    <phoneticPr fontId="1"/>
  </si>
  <si>
    <t>働きバッタ</t>
    <phoneticPr fontId="1"/>
  </si>
  <si>
    <t>言の葉のエルダーウィードマン</t>
    <phoneticPr fontId="1"/>
  </si>
  <si>
    <t>深奥のフェアリービースト</t>
    <phoneticPr fontId="1"/>
  </si>
  <si>
    <t>妖精の招集</t>
    <phoneticPr fontId="1"/>
  </si>
  <si>
    <t>純粋なるウォーターフェアリー</t>
    <phoneticPr fontId="1"/>
  </si>
  <si>
    <t>ベビーカーバンクル</t>
    <phoneticPr fontId="1"/>
  </si>
  <si>
    <t>フロストクリスタリア・エリン</t>
    <phoneticPr fontId="1"/>
  </si>
  <si>
    <t>薫交の思慕</t>
    <phoneticPr fontId="1"/>
  </si>
  <si>
    <t>燐光の岩</t>
    <phoneticPr fontId="1"/>
  </si>
  <si>
    <t>ピュアクリスタリア・リリィ</t>
    <phoneticPr fontId="1"/>
  </si>
  <si>
    <t>殺戮のリノセウス</t>
    <phoneticPr fontId="1"/>
  </si>
  <si>
    <t>薫交の天宮・バックウッド</t>
    <phoneticPr fontId="1"/>
  </si>
  <si>
    <t>聖樹の杖</t>
    <phoneticPr fontId="1"/>
  </si>
  <si>
    <t>ビギンズブレイダー・アマツ</t>
    <phoneticPr fontId="1"/>
  </si>
  <si>
    <t>自然の妖精姫・アリア</t>
    <phoneticPr fontId="1"/>
  </si>
  <si>
    <t>豊麗なるローズクイーン</t>
    <phoneticPr fontId="1"/>
  </si>
  <si>
    <t>煌撃の戦士・ベイル</t>
    <phoneticPr fontId="1"/>
  </si>
  <si>
    <t>異端の侍</t>
    <phoneticPr fontId="1"/>
  </si>
  <si>
    <t>愛の騎士・イアン</t>
    <phoneticPr fontId="1"/>
  </si>
  <si>
    <t>救援のルミナスヒーラー・リララ</t>
    <phoneticPr fontId="1"/>
  </si>
  <si>
    <t>ミリタリードッグ</t>
    <phoneticPr fontId="1"/>
  </si>
  <si>
    <t>ピースディーラー・エルネスタ</t>
    <phoneticPr fontId="1"/>
  </si>
  <si>
    <t>剣士の斬撃</t>
    <phoneticPr fontId="1"/>
  </si>
  <si>
    <t>統率のルミナスナイト</t>
    <phoneticPr fontId="1"/>
  </si>
  <si>
    <t>勇猛のルミナスランサー</t>
    <phoneticPr fontId="1"/>
  </si>
  <si>
    <t>忍びのムササビ</t>
    <phoneticPr fontId="1"/>
  </si>
  <si>
    <t>卓越のルミナスメイジ</t>
    <phoneticPr fontId="1"/>
  </si>
  <si>
    <t>王断の威光</t>
    <phoneticPr fontId="1"/>
  </si>
  <si>
    <t>サイレントスナイパー・ワルツ</t>
    <phoneticPr fontId="1"/>
  </si>
  <si>
    <t>王断の天宮・スタチウム</t>
    <phoneticPr fontId="1"/>
  </si>
  <si>
    <t>レヴィオンアックス・ジェノ</t>
    <phoneticPr fontId="1"/>
  </si>
  <si>
    <t>煌刃の勇者・アマリア</t>
    <phoneticPr fontId="1"/>
  </si>
  <si>
    <t>テンタクルバイト</t>
    <phoneticPr fontId="1"/>
  </si>
  <si>
    <t>常在戦場・カゲミツ</t>
    <phoneticPr fontId="1"/>
  </si>
  <si>
    <t>レヴィオンの迅雷・アルベール</t>
    <phoneticPr fontId="1"/>
  </si>
  <si>
    <t>白銀の騎士団長・エミリア</t>
    <phoneticPr fontId="1"/>
  </si>
  <si>
    <t>見習い占星術師</t>
    <phoneticPr fontId="1"/>
  </si>
  <si>
    <t>オウルサモナー</t>
    <phoneticPr fontId="1"/>
  </si>
  <si>
    <t>夢想のペンギンウィザード</t>
    <phoneticPr fontId="1"/>
  </si>
  <si>
    <t>ルーンブレイドコンダクター</t>
    <phoneticPr fontId="1"/>
  </si>
  <si>
    <t>ストームブラスト</t>
    <phoneticPr fontId="1"/>
  </si>
  <si>
    <t>虹の奇跡</t>
    <phoneticPr fontId="1"/>
  </si>
  <si>
    <t>アドラブルティーチャー・ミラ</t>
    <phoneticPr fontId="1"/>
  </si>
  <si>
    <t>ワンダーウィッチ・エミル</t>
    <phoneticPr fontId="1"/>
  </si>
  <si>
    <t>マナリアの学徒・ウィリアム</t>
    <phoneticPr fontId="1"/>
  </si>
  <si>
    <t>理光の証明</t>
    <phoneticPr fontId="1"/>
  </si>
  <si>
    <t>スノーアウェイク</t>
    <phoneticPr fontId="1"/>
  </si>
  <si>
    <t>魔法の薬剤師・ペネロピー</t>
    <phoneticPr fontId="1"/>
  </si>
  <si>
    <t>理光の天宮・エーデルワイス</t>
    <phoneticPr fontId="1"/>
  </si>
  <si>
    <t>黎明の錬金術師・ノノ</t>
    <phoneticPr fontId="1"/>
  </si>
  <si>
    <t>宿題やるですぅ！</t>
    <phoneticPr fontId="1"/>
  </si>
  <si>
    <t>鬼呼びの術</t>
    <phoneticPr fontId="1"/>
  </si>
  <si>
    <t>マナリアフレンズ・アン＆グレア</t>
    <phoneticPr fontId="1"/>
  </si>
  <si>
    <t>五行の果て・クオン</t>
    <phoneticPr fontId="1"/>
  </si>
  <si>
    <t>オーバーディメンション</t>
    <phoneticPr fontId="1"/>
  </si>
  <si>
    <t>竜育の少女</t>
    <phoneticPr fontId="1"/>
  </si>
  <si>
    <t>駆け出しのドラゴンスレイヤー</t>
    <phoneticPr fontId="1"/>
  </si>
  <si>
    <t>白鱗の御使い</t>
    <phoneticPr fontId="1"/>
  </si>
  <si>
    <t>海溝の大剣竜</t>
    <phoneticPr fontId="1"/>
  </si>
  <si>
    <t>雲海の騎竜兵</t>
    <phoneticPr fontId="1"/>
  </si>
  <si>
    <t>ディザスターブレス</t>
    <phoneticPr fontId="1"/>
  </si>
  <si>
    <t>風を駆る者・エイファ</t>
    <phoneticPr fontId="1"/>
  </si>
  <si>
    <t>風を読む者・ゼル</t>
    <phoneticPr fontId="1"/>
  </si>
  <si>
    <t>艶麗なる竜人・マリオン</t>
    <phoneticPr fontId="1"/>
  </si>
  <si>
    <t>煌牙の義勇・キット</t>
    <phoneticPr fontId="1"/>
  </si>
  <si>
    <t>栄弦の奏楽</t>
    <phoneticPr fontId="1"/>
  </si>
  <si>
    <t>栄弦の天宮・リュウフウ</t>
    <phoneticPr fontId="1"/>
  </si>
  <si>
    <t>荒波のドラグーン・ザハール</t>
    <phoneticPr fontId="1"/>
  </si>
  <si>
    <t>ナイトフォールドラゴン</t>
    <phoneticPr fontId="1"/>
  </si>
  <si>
    <t>再臨のジェネシスドラゴン</t>
    <phoneticPr fontId="1"/>
  </si>
  <si>
    <t>乙姫の扇</t>
    <phoneticPr fontId="1"/>
  </si>
  <si>
    <t>覇道の竜翼・フォルテ</t>
    <phoneticPr fontId="1"/>
  </si>
  <si>
    <t>灼熱のアナテマ・バーンドナイト</t>
    <phoneticPr fontId="1"/>
  </si>
  <si>
    <t>龍人演義・ガリュウ</t>
    <phoneticPr fontId="1"/>
  </si>
  <si>
    <t>無名の悪魔</t>
    <phoneticPr fontId="1"/>
  </si>
  <si>
    <t>ミッドナイトヴァンパイア・エラル</t>
    <phoneticPr fontId="1"/>
  </si>
  <si>
    <t>ボーンガール</t>
    <phoneticPr fontId="1"/>
  </si>
  <si>
    <t>禁約の悪魔</t>
    <phoneticPr fontId="1"/>
  </si>
  <si>
    <t>ジャグリングゴースト</t>
    <phoneticPr fontId="1"/>
  </si>
  <si>
    <t>死神の一振り</t>
    <phoneticPr fontId="1"/>
  </si>
  <si>
    <t>辣腕の死神・ミーノ</t>
    <phoneticPr fontId="1"/>
  </si>
  <si>
    <t>ナイトメア・ヴェリィ</t>
    <phoneticPr fontId="1"/>
  </si>
  <si>
    <t>怪奇の探索者・ユナ</t>
    <phoneticPr fontId="1"/>
  </si>
  <si>
    <t>串刺し公・ヴラド</t>
    <phoneticPr fontId="1"/>
  </si>
  <si>
    <t>瞑地の霊園</t>
    <phoneticPr fontId="1"/>
  </si>
  <si>
    <t>燃え盛る魔剣・オルトロス</t>
    <phoneticPr fontId="1"/>
  </si>
  <si>
    <t>闇の賞金稼ぎ・バルト</t>
    <phoneticPr fontId="1"/>
  </si>
  <si>
    <t>青薔薇の令嬢・セレス</t>
    <phoneticPr fontId="1"/>
  </si>
  <si>
    <t>瞑地の天宮・ムカン</t>
    <phoneticPr fontId="1"/>
  </si>
  <si>
    <t>蛇神の怒り</t>
    <phoneticPr fontId="1"/>
  </si>
  <si>
    <t>エンドレスハンター・アラガヴィ</t>
    <phoneticPr fontId="1"/>
  </si>
  <si>
    <t>猛毒姫・メドゥーサ</t>
    <phoneticPr fontId="1"/>
  </si>
  <si>
    <t>奔放なる獄炎・ケルベロス</t>
    <phoneticPr fontId="1"/>
  </si>
  <si>
    <t>潜みしマイニュ</t>
    <phoneticPr fontId="1"/>
  </si>
  <si>
    <t>聖心のプリズムプリースト</t>
    <phoneticPr fontId="1"/>
  </si>
  <si>
    <t>セイントシールダー</t>
    <phoneticPr fontId="1"/>
  </si>
  <si>
    <t>標を与えるレディアンスエンジェル</t>
    <phoneticPr fontId="1"/>
  </si>
  <si>
    <t>フェザーレイン</t>
    <phoneticPr fontId="1"/>
  </si>
  <si>
    <t>穏やかなる教会</t>
    <phoneticPr fontId="1"/>
  </si>
  <si>
    <t>煌槍のアルミラージ・サリッサ</t>
    <phoneticPr fontId="1"/>
  </si>
  <si>
    <t>煌翼のフェザーフォルク・リノ</t>
    <phoneticPr fontId="1"/>
  </si>
  <si>
    <t>禁密の聖地</t>
    <phoneticPr fontId="1"/>
  </si>
  <si>
    <t>セイクリッドインジェクション</t>
    <phoneticPr fontId="1"/>
  </si>
  <si>
    <t>大地の守護神・ミーヴェ</t>
    <phoneticPr fontId="1"/>
  </si>
  <si>
    <t>禁密の天宮・ロナヴェロ</t>
    <phoneticPr fontId="1"/>
  </si>
  <si>
    <t>終焉のスカルフェイン</t>
    <phoneticPr fontId="1"/>
  </si>
  <si>
    <t>大いなる熾天使・ラピス</t>
    <phoneticPr fontId="1"/>
  </si>
  <si>
    <t>獣姫の誓約</t>
    <phoneticPr fontId="1"/>
  </si>
  <si>
    <t>邪教の器</t>
    <phoneticPr fontId="1"/>
  </si>
  <si>
    <t>水の守護神・サレファ</t>
    <phoneticPr fontId="1"/>
  </si>
  <si>
    <t>裁決のアナテマ・ロデオ</t>
    <phoneticPr fontId="1"/>
  </si>
  <si>
    <t>純白の聖女・ジャンヌ</t>
    <phoneticPr fontId="1"/>
  </si>
  <si>
    <t>ビビッドインベンター・イリス</t>
    <phoneticPr fontId="1"/>
  </si>
  <si>
    <t>アンストッパブルガンナー</t>
    <phoneticPr fontId="1"/>
  </si>
  <si>
    <t>オートマタアサシン</t>
    <phoneticPr fontId="1"/>
  </si>
  <si>
    <t>メタルマーセナリー・ディルク</t>
    <phoneticPr fontId="1"/>
  </si>
  <si>
    <t>アーティファクトチャージ</t>
    <phoneticPr fontId="1"/>
  </si>
  <si>
    <t>人形の身代わり</t>
    <phoneticPr fontId="1"/>
  </si>
  <si>
    <t>愛執のドールユーザー</t>
    <phoneticPr fontId="1"/>
  </si>
  <si>
    <t>ストラグルリーダー・ルキナ</t>
    <phoneticPr fontId="1"/>
  </si>
  <si>
    <t>殺意の糸・ノア</t>
    <phoneticPr fontId="1"/>
  </si>
  <si>
    <t>命の奔流</t>
    <phoneticPr fontId="1"/>
  </si>
  <si>
    <t>改境の再動</t>
    <phoneticPr fontId="1"/>
  </si>
  <si>
    <t>レゾリューション・ミリアム</t>
    <phoneticPr fontId="1"/>
  </si>
  <si>
    <t>改境の天宮・アルエット</t>
    <phoneticPr fontId="1"/>
  </si>
  <si>
    <t>箱庭の断罪者・シルヴィア</t>
    <phoneticPr fontId="1"/>
  </si>
  <si>
    <t>狂気の創造者・リーアム</t>
    <phoneticPr fontId="1"/>
  </si>
  <si>
    <t>遺産の砲撃</t>
    <phoneticPr fontId="1"/>
  </si>
  <si>
    <t>新たなる少女・エース</t>
    <phoneticPr fontId="1"/>
  </si>
  <si>
    <t>プロシードハート・オーキス</t>
    <phoneticPr fontId="1"/>
  </si>
  <si>
    <t>ブーストエクステンド・ララミア</t>
    <phoneticPr fontId="1"/>
  </si>
  <si>
    <t>フェアリー</t>
    <phoneticPr fontId="1"/>
  </si>
  <si>
    <t>ナイト</t>
    <phoneticPr fontId="1"/>
  </si>
  <si>
    <t>クレイゴーレム</t>
    <phoneticPr fontId="1"/>
  </si>
  <si>
    <t>ガーディアンゴーレム</t>
    <phoneticPr fontId="1"/>
  </si>
  <si>
    <t>大地の魔片</t>
    <phoneticPr fontId="1"/>
  </si>
  <si>
    <t>大翼のドラゴン</t>
    <phoneticPr fontId="1"/>
  </si>
  <si>
    <t>バット</t>
    <phoneticPr fontId="1"/>
  </si>
  <si>
    <t>ゴースト</t>
    <phoneticPr fontId="1"/>
  </si>
  <si>
    <t>ホーリーファルコン</t>
    <phoneticPr fontId="1"/>
  </si>
  <si>
    <t>壮麗なる隼</t>
    <phoneticPr fontId="1"/>
  </si>
  <si>
    <t>操り人形</t>
    <phoneticPr fontId="1"/>
  </si>
  <si>
    <t>森の神秘</t>
    <phoneticPr fontId="1"/>
  </si>
  <si>
    <t>薔薇の閃撃</t>
    <phoneticPr fontId="1"/>
  </si>
  <si>
    <t>スティールナイト</t>
    <phoneticPr fontId="1"/>
  </si>
  <si>
    <t>式神・形代</t>
    <phoneticPr fontId="1"/>
  </si>
  <si>
    <t>式神・暴鬼</t>
    <phoneticPr fontId="1"/>
  </si>
  <si>
    <t>成長したですぅ！</t>
    <phoneticPr fontId="1"/>
  </si>
  <si>
    <t>アンの大英霊</t>
    <phoneticPr fontId="1"/>
  </si>
  <si>
    <t>式神・天后</t>
    <phoneticPr fontId="1"/>
  </si>
  <si>
    <t>式神・貴人</t>
    <phoneticPr fontId="1"/>
  </si>
  <si>
    <t>ベビーファイアドレイク</t>
    <phoneticPr fontId="1"/>
  </si>
  <si>
    <t>乙姫お守り隊</t>
    <phoneticPr fontId="1"/>
  </si>
  <si>
    <t>覇道の金龍</t>
    <phoneticPr fontId="1"/>
  </si>
  <si>
    <t>覇道の銀龍</t>
    <phoneticPr fontId="1"/>
  </si>
  <si>
    <t>スケルトン</t>
    <phoneticPr fontId="1"/>
  </si>
  <si>
    <t>番犬の右腕・ミミ</t>
    <phoneticPr fontId="1"/>
  </si>
  <si>
    <t>番犬の左腕・ココ</t>
    <phoneticPr fontId="1"/>
  </si>
  <si>
    <t>ホーリーフレイムタイガー</t>
    <phoneticPr fontId="1"/>
  </si>
  <si>
    <t>ロイド</t>
    <phoneticPr fontId="1"/>
  </si>
  <si>
    <t>サタンズサーヴァント</t>
    <phoneticPr fontId="1"/>
  </si>
  <si>
    <t>辺獄の悪鬼</t>
    <phoneticPr fontId="1"/>
  </si>
  <si>
    <t>沈黙の魔将</t>
    <phoneticPr fontId="1"/>
  </si>
  <si>
    <t>アスタロトの宣告</t>
    <phoneticPr fontId="1"/>
  </si>
  <si>
    <t>ゴブリン</t>
    <phoneticPr fontId="1"/>
  </si>
  <si>
    <t>二刀のゴブリン</t>
    <phoneticPr fontId="1"/>
  </si>
  <si>
    <t>リバースチェンジ</t>
    <phoneticPr fontId="1"/>
  </si>
  <si>
    <t>メイドエンジェル・チェレッタ</t>
    <phoneticPr fontId="1"/>
  </si>
  <si>
    <t>雷火の双神・フニカル＆ヤヴンハール</t>
    <phoneticPr fontId="1"/>
  </si>
  <si>
    <t>絆の天使・レイナ</t>
    <phoneticPr fontId="1"/>
  </si>
  <si>
    <t>颶風の天業・グリームニル</t>
    <phoneticPr fontId="1"/>
  </si>
  <si>
    <t>運命の黄昏・オーディン</t>
    <phoneticPr fontId="1"/>
  </si>
  <si>
    <t>ワイルドガール</t>
    <phoneticPr fontId="1"/>
  </si>
  <si>
    <t>木槌のドワーフ</t>
    <phoneticPr fontId="1"/>
  </si>
  <si>
    <t>森の行進</t>
    <phoneticPr fontId="1"/>
  </si>
  <si>
    <t>フェアリーフェンサー</t>
    <phoneticPr fontId="1"/>
  </si>
  <si>
    <t>アーデントエルフ・レオネル</t>
    <phoneticPr fontId="1"/>
  </si>
  <si>
    <t>樹上からの急襲</t>
    <phoneticPr fontId="1"/>
  </si>
  <si>
    <t>フォレストシバルリー・シンシア</t>
    <phoneticPr fontId="1"/>
  </si>
  <si>
    <t>花園の導き</t>
    <phoneticPr fontId="1"/>
  </si>
  <si>
    <t>翅の女王・ティターニア</t>
    <phoneticPr fontId="1"/>
  </si>
  <si>
    <t>絡み付く密林・リマーガ</t>
    <phoneticPr fontId="1"/>
  </si>
  <si>
    <t>トリガーメイド・セリエ</t>
    <phoneticPr fontId="1"/>
  </si>
  <si>
    <t>暗闘のニンジャマスター</t>
    <phoneticPr fontId="1"/>
  </si>
  <si>
    <t>商談成立</t>
    <phoneticPr fontId="1"/>
  </si>
  <si>
    <t>豪胆なる副団長・ゲルト</t>
    <phoneticPr fontId="1"/>
  </si>
  <si>
    <t>オーディナリーナイト・ラキル</t>
    <phoneticPr fontId="1"/>
  </si>
  <si>
    <t>三将姫の乱撃</t>
    <phoneticPr fontId="1"/>
  </si>
  <si>
    <t>休日の王女・プリム</t>
    <phoneticPr fontId="1"/>
  </si>
  <si>
    <t>ソードプリンセス・ロゼ</t>
    <phoneticPr fontId="1"/>
  </si>
  <si>
    <t>静寂のアナテマ・ギルダリア</t>
    <phoneticPr fontId="1"/>
  </si>
  <si>
    <t>レヴィオンの超越者・ユリウス</t>
    <phoneticPr fontId="1"/>
  </si>
  <si>
    <t>静かなるメイド・ノーニャ</t>
    <phoneticPr fontId="1"/>
  </si>
  <si>
    <t>憧憬の魔女・メルヴィ</t>
    <phoneticPr fontId="1"/>
  </si>
  <si>
    <t>ID</t>
  </si>
  <si>
    <t>SelectClass</t>
  </si>
  <si>
    <t>Class</t>
  </si>
  <si>
    <t>SelectRarity</t>
  </si>
  <si>
    <t>Rarity</t>
  </si>
  <si>
    <t>SelectType</t>
  </si>
  <si>
    <t>Type</t>
  </si>
  <si>
    <t>Defence</t>
  </si>
  <si>
    <t>IllustID</t>
  </si>
  <si>
    <t>Token</t>
  </si>
  <si>
    <t>魔導の司書</t>
    <phoneticPr fontId="1"/>
  </si>
  <si>
    <t>アイスピアース</t>
    <phoneticPr fontId="1"/>
  </si>
  <si>
    <t>調香の魔術師</t>
    <phoneticPr fontId="1"/>
  </si>
  <si>
    <t>否定の詠唱・バーゼント</t>
    <phoneticPr fontId="1"/>
  </si>
  <si>
    <t>カオスフレイム</t>
    <phoneticPr fontId="1"/>
  </si>
  <si>
    <t>マナリアの剣士・オーウェン</t>
    <phoneticPr fontId="1"/>
  </si>
  <si>
    <t>パメラの舞踏</t>
    <phoneticPr fontId="1"/>
  </si>
  <si>
    <t>アダマントアルケミスト・ノーマン</t>
    <phoneticPr fontId="1"/>
  </si>
  <si>
    <t>暴食のアナテマ・ララアンセム</t>
    <phoneticPr fontId="1"/>
  </si>
  <si>
    <t>オニオン軍団</t>
    <phoneticPr fontId="1"/>
  </si>
  <si>
    <t>飛躍のアイボリードラゴン</t>
    <phoneticPr fontId="1"/>
  </si>
  <si>
    <t>庇護の知竜</t>
    <phoneticPr fontId="1"/>
  </si>
  <si>
    <t>オルカの呼び声</t>
    <phoneticPr fontId="1"/>
  </si>
  <si>
    <t>宿願のドラゴニュートプリンセス</t>
    <phoneticPr fontId="1"/>
  </si>
  <si>
    <t>歴戦のマーマン</t>
    <phoneticPr fontId="1"/>
  </si>
  <si>
    <t>炎竜の剣</t>
    <phoneticPr fontId="1"/>
  </si>
  <si>
    <t>蒼海の裁き・ネプチューン</t>
    <phoneticPr fontId="1"/>
  </si>
  <si>
    <t>ドラゴニックストライク</t>
    <phoneticPr fontId="1"/>
  </si>
  <si>
    <t>銀氷の竜少女・フィルレイン</t>
    <phoneticPr fontId="1"/>
  </si>
  <si>
    <t>絢爛なる鳳凰・ほーちゃん</t>
    <phoneticPr fontId="1"/>
  </si>
  <si>
    <t>大海のオルカ</t>
    <phoneticPr fontId="1"/>
  </si>
  <si>
    <t>銀氷の吐息</t>
    <phoneticPr fontId="1"/>
  </si>
  <si>
    <t>怨恨の栽培者</t>
    <phoneticPr fontId="1"/>
  </si>
  <si>
    <t>シルバーバレット・レイヴン</t>
    <phoneticPr fontId="1"/>
  </si>
  <si>
    <t>カースパーティー</t>
    <phoneticPr fontId="1"/>
  </si>
  <si>
    <t>ブラストウィング・ピユラ</t>
    <phoneticPr fontId="1"/>
  </si>
  <si>
    <t>コープスソルジャー</t>
    <phoneticPr fontId="1"/>
  </si>
  <si>
    <t>蝙蝠の使役</t>
    <phoneticPr fontId="1"/>
  </si>
  <si>
    <t>クルーエルウォー・ラウラ</t>
    <phoneticPr fontId="1"/>
  </si>
  <si>
    <t>ノクターンジェネラル・エクセラ</t>
    <phoneticPr fontId="1"/>
  </si>
  <si>
    <t>流れ堕つ冥河・カローン</t>
    <phoneticPr fontId="1"/>
  </si>
  <si>
    <t>双輪夜行・ギンセツ＆ユヅキ</t>
    <phoneticPr fontId="1"/>
  </si>
  <si>
    <t>腐臭のゾンビ</t>
    <phoneticPr fontId="1"/>
  </si>
  <si>
    <t>一ツ尾狐</t>
    <phoneticPr fontId="1"/>
  </si>
  <si>
    <t>マリスオラクル・ダムス</t>
    <phoneticPr fontId="1"/>
  </si>
  <si>
    <t>粉砕の聖職者</t>
    <phoneticPr fontId="1"/>
  </si>
  <si>
    <t>光の香炉</t>
    <phoneticPr fontId="1"/>
  </si>
  <si>
    <t>バラージエクソシスト・コレット</t>
    <phoneticPr fontId="1"/>
  </si>
  <si>
    <t>潔癖の審判者</t>
    <phoneticPr fontId="1"/>
  </si>
  <si>
    <t>ディバインガード</t>
    <phoneticPr fontId="1"/>
  </si>
  <si>
    <t>速断の刃・アニエス</t>
    <phoneticPr fontId="1"/>
  </si>
  <si>
    <t>狂おしき恩寵</t>
    <phoneticPr fontId="1"/>
  </si>
  <si>
    <t>嗚咽の聖騎士・ウィルバート</t>
    <phoneticPr fontId="1"/>
  </si>
  <si>
    <t>天の守護神・アイテール</t>
    <phoneticPr fontId="1"/>
  </si>
  <si>
    <t>聖騎兵</t>
    <phoneticPr fontId="1"/>
  </si>
  <si>
    <t>パペットキャット</t>
    <phoneticPr fontId="1"/>
  </si>
  <si>
    <t>エンジンブレイダー</t>
    <phoneticPr fontId="1"/>
  </si>
  <si>
    <t>アーティファクトカタパルト</t>
    <phoneticPr fontId="1"/>
  </si>
  <si>
    <t>ハートスローター・フィア</t>
    <phoneticPr fontId="1"/>
  </si>
  <si>
    <t>ディスペアロード・アキム</t>
    <phoneticPr fontId="1"/>
  </si>
  <si>
    <t>イカロスの飛翔</t>
    <phoneticPr fontId="1"/>
  </si>
  <si>
    <t>暗獄の残光・ジャスパー</t>
    <phoneticPr fontId="1"/>
  </si>
  <si>
    <t>心有る共闘</t>
    <phoneticPr fontId="1"/>
  </si>
  <si>
    <t>シンフォニアハート・ツヴァイ</t>
    <phoneticPr fontId="1"/>
  </si>
  <si>
    <t>マインドアーツ・カルラ</t>
    <phoneticPr fontId="1"/>
  </si>
  <si>
    <t>ドールスローター</t>
    <phoneticPr fontId="1"/>
  </si>
  <si>
    <t>ヴィクトリア</t>
    <phoneticPr fontId="1"/>
  </si>
  <si>
    <t>干絶の使徒</t>
    <phoneticPr fontId="1"/>
  </si>
  <si>
    <t>至高の凌駕</t>
    <phoneticPr fontId="1"/>
  </si>
  <si>
    <t>嘆きに立ちし者</t>
    <phoneticPr fontId="1"/>
  </si>
  <si>
    <t>勇気に満ちし者</t>
    <phoneticPr fontId="1"/>
  </si>
  <si>
    <t>試練の石板</t>
    <phoneticPr fontId="1"/>
  </si>
  <si>
    <t>干絶の顕現・ギルネリーゼ</t>
    <phoneticPr fontId="1"/>
  </si>
  <si>
    <t>絶大の顕現・マゼルベイン</t>
    <phoneticPr fontId="1"/>
  </si>
  <si>
    <t>絶大の証明</t>
    <phoneticPr fontId="1"/>
  </si>
  <si>
    <t>干絶の甘露</t>
    <phoneticPr fontId="1"/>
  </si>
  <si>
    <t>不殺の肯定者</t>
    <phoneticPr fontId="1"/>
  </si>
  <si>
    <t>妖精剣の担い手</t>
    <phoneticPr fontId="1"/>
  </si>
  <si>
    <t>野生の猛襲</t>
    <phoneticPr fontId="1"/>
  </si>
  <si>
    <t>樹海の戦士</t>
    <phoneticPr fontId="1"/>
  </si>
  <si>
    <t>不殺の祈祷者</t>
    <phoneticPr fontId="1"/>
  </si>
  <si>
    <t>不殺の里</t>
    <phoneticPr fontId="1"/>
  </si>
  <si>
    <t>不殺の団結者</t>
    <phoneticPr fontId="1"/>
  </si>
  <si>
    <t>駆逐の死矢</t>
    <phoneticPr fontId="1"/>
  </si>
  <si>
    <t>不殺の継承者・クルル</t>
    <phoneticPr fontId="1"/>
  </si>
  <si>
    <t>絶命の顕現・エズディア</t>
    <phoneticPr fontId="1"/>
  </si>
  <si>
    <t>絶命の痛撃</t>
    <phoneticPr fontId="1"/>
  </si>
  <si>
    <t>簒奪の肯定者</t>
    <phoneticPr fontId="1"/>
  </si>
  <si>
    <t>剣聖の同胞</t>
    <phoneticPr fontId="1"/>
  </si>
  <si>
    <t>シールドバッシュ</t>
    <phoneticPr fontId="1"/>
  </si>
  <si>
    <t>簒奪の祈祷者</t>
    <phoneticPr fontId="1"/>
  </si>
  <si>
    <t>スナッピースカウト</t>
    <phoneticPr fontId="1"/>
  </si>
  <si>
    <t>簒奪のアジト</t>
    <phoneticPr fontId="1"/>
  </si>
  <si>
    <t>簒奪の団結者</t>
    <phoneticPr fontId="1"/>
  </si>
  <si>
    <t>返還の剣閃</t>
    <phoneticPr fontId="1"/>
  </si>
  <si>
    <t>空絶の顕現・オクトリス</t>
    <phoneticPr fontId="1"/>
  </si>
  <si>
    <t>簒奪の継承者・シンセライズ</t>
    <phoneticPr fontId="1"/>
  </si>
  <si>
    <t>黄金の小剣</t>
    <phoneticPr fontId="1"/>
  </si>
  <si>
    <t>黄金の杯</t>
    <phoneticPr fontId="1"/>
  </si>
  <si>
    <t>黄金の靴</t>
    <phoneticPr fontId="1"/>
  </si>
  <si>
    <t>黄金の首飾り</t>
    <phoneticPr fontId="1"/>
  </si>
  <si>
    <t>空絶の残光</t>
    <phoneticPr fontId="1"/>
  </si>
  <si>
    <t>真実の肯定者</t>
    <phoneticPr fontId="1"/>
  </si>
  <si>
    <t>五行の修行者</t>
    <phoneticPr fontId="1"/>
  </si>
  <si>
    <t>クリスタルゲイジング</t>
    <phoneticPr fontId="1"/>
  </si>
  <si>
    <t>真実の祈祷者</t>
    <phoneticPr fontId="1"/>
  </si>
  <si>
    <t>デュアルクリエイト</t>
    <phoneticPr fontId="1"/>
  </si>
  <si>
    <t>真実の研究施設</t>
    <phoneticPr fontId="1"/>
  </si>
  <si>
    <t>真実の団結者</t>
    <phoneticPr fontId="1"/>
  </si>
  <si>
    <t>虚偽の術式</t>
    <phoneticPr fontId="1"/>
  </si>
  <si>
    <t>真実の継承者・ヴェハリヤー</t>
    <phoneticPr fontId="1"/>
  </si>
  <si>
    <t>絶尽の顕現・ライオ</t>
    <phoneticPr fontId="1"/>
  </si>
  <si>
    <t>絶尽の偽証</t>
    <phoneticPr fontId="1"/>
  </si>
  <si>
    <t>侮蔑の肯定者</t>
    <phoneticPr fontId="1"/>
  </si>
  <si>
    <t>吹雪のドラゴニュート</t>
    <phoneticPr fontId="1"/>
  </si>
  <si>
    <t>サンダーレイジ</t>
    <phoneticPr fontId="1"/>
  </si>
  <si>
    <t>オーシャンライダー</t>
    <phoneticPr fontId="1"/>
  </si>
  <si>
    <t>侮蔑の祈祷者</t>
    <phoneticPr fontId="1"/>
  </si>
  <si>
    <t>侮蔑の国</t>
    <phoneticPr fontId="1"/>
  </si>
  <si>
    <t>侮蔑の団結者</t>
    <phoneticPr fontId="1"/>
  </si>
  <si>
    <t>蒼炎の猛威</t>
    <phoneticPr fontId="1"/>
  </si>
  <si>
    <t>烈絶の顕現・ガルミーユ</t>
    <phoneticPr fontId="1"/>
  </si>
  <si>
    <t>侮蔑の継承者・アジュラフリート</t>
    <phoneticPr fontId="1"/>
  </si>
  <si>
    <t>烈絶の滅牙</t>
    <phoneticPr fontId="1"/>
  </si>
  <si>
    <t>混融の肯定者</t>
    <phoneticPr fontId="1"/>
  </si>
  <si>
    <t>泡沫の鬼姫</t>
    <phoneticPr fontId="1"/>
  </si>
  <si>
    <t>暴虐の行進</t>
    <phoneticPr fontId="1"/>
  </si>
  <si>
    <t>フレッシュグレイブキーパー</t>
    <phoneticPr fontId="1"/>
  </si>
  <si>
    <t>混融の祈祷者</t>
    <phoneticPr fontId="1"/>
  </si>
  <si>
    <t>混融の城</t>
    <phoneticPr fontId="1"/>
  </si>
  <si>
    <t>混融の団結者</t>
    <phoneticPr fontId="1"/>
  </si>
  <si>
    <t>叫喚と憎悪</t>
    <phoneticPr fontId="1"/>
  </si>
  <si>
    <t>混融の継承者・シャム＝ナクア</t>
    <phoneticPr fontId="1"/>
  </si>
  <si>
    <t>絶叫と愛絶の顕現・ルルナイ＆ヴァーナレク</t>
    <phoneticPr fontId="1"/>
  </si>
  <si>
    <t>絶叫の拡散</t>
    <phoneticPr fontId="1"/>
  </si>
  <si>
    <t>愛絶の飛翔</t>
    <phoneticPr fontId="1"/>
  </si>
  <si>
    <t>安息の肯定者</t>
    <phoneticPr fontId="1"/>
  </si>
  <si>
    <t>聖騎士の団員</t>
    <phoneticPr fontId="1"/>
  </si>
  <si>
    <t>セイントフラッシュ</t>
    <phoneticPr fontId="1"/>
  </si>
  <si>
    <t>安息の祈祷者</t>
    <phoneticPr fontId="1"/>
  </si>
  <si>
    <t>安息の神殿</t>
    <phoneticPr fontId="1"/>
  </si>
  <si>
    <t>有翼の獅子像</t>
    <phoneticPr fontId="1"/>
  </si>
  <si>
    <t>安息の団結者</t>
    <phoneticPr fontId="1"/>
  </si>
  <si>
    <t>輝く失意</t>
    <phoneticPr fontId="1"/>
  </si>
  <si>
    <t>絶望の顕現・マーウィン</t>
    <phoneticPr fontId="1"/>
  </si>
  <si>
    <t>安息の継承者・ヒメカ</t>
    <phoneticPr fontId="1"/>
  </si>
  <si>
    <t>絶望の奔流</t>
    <phoneticPr fontId="1"/>
  </si>
  <si>
    <t>破壊の肯定者</t>
    <phoneticPr fontId="1"/>
  </si>
  <si>
    <t>音速の飛行兵</t>
    <phoneticPr fontId="1"/>
  </si>
  <si>
    <t>ストリングアサルト</t>
    <phoneticPr fontId="1"/>
  </si>
  <si>
    <t>破壊の祈祷者</t>
    <phoneticPr fontId="1"/>
  </si>
  <si>
    <t>フィールドエンジニア</t>
    <phoneticPr fontId="1"/>
  </si>
  <si>
    <t>破壊の荒野</t>
    <phoneticPr fontId="1"/>
  </si>
  <si>
    <t>破壊の団結者</t>
    <phoneticPr fontId="1"/>
  </si>
  <si>
    <t>殲滅の歌声</t>
    <phoneticPr fontId="1"/>
  </si>
  <si>
    <t>破壊の継承者・アクシア</t>
    <phoneticPr fontId="1"/>
  </si>
  <si>
    <t>奏絶の顕現・リーシェナ</t>
    <phoneticPr fontId="1"/>
  </si>
  <si>
    <t>奏絶の独唱</t>
    <phoneticPr fontId="1"/>
  </si>
  <si>
    <t>新約・白の章</t>
    <phoneticPr fontId="1"/>
  </si>
  <si>
    <t>新約・黒の章</t>
    <phoneticPr fontId="1"/>
  </si>
  <si>
    <t>ファイター</t>
    <phoneticPr fontId="1"/>
  </si>
  <si>
    <t>流浪の傭兵</t>
    <phoneticPr fontId="1"/>
  </si>
  <si>
    <t>ゴリアテ</t>
    <phoneticPr fontId="1"/>
  </si>
  <si>
    <t>天剣の乙女</t>
    <phoneticPr fontId="1"/>
  </si>
  <si>
    <t>運命の泉</t>
    <phoneticPr fontId="1"/>
  </si>
  <si>
    <t>ツインプリズナー・フラム</t>
    <phoneticPr fontId="1"/>
  </si>
  <si>
    <t>ツインプリズナー・グラス</t>
    <phoneticPr fontId="1"/>
  </si>
  <si>
    <t>フラム＝グラス</t>
    <phoneticPr fontId="1"/>
  </si>
  <si>
    <t>兵士</t>
    <rPh sb="0" eb="2">
      <t>ヘイシ</t>
    </rPh>
    <phoneticPr fontId="1"/>
  </si>
  <si>
    <t>ルミナス</t>
    <phoneticPr fontId="1"/>
  </si>
  <si>
    <t>レヴィオン</t>
    <phoneticPr fontId="1"/>
  </si>
  <si>
    <t>妖精</t>
    <rPh sb="0" eb="2">
      <t>ヨウセイ</t>
    </rPh>
    <phoneticPr fontId="1"/>
  </si>
  <si>
    <t>死者</t>
    <rPh sb="0" eb="2">
      <t>シシャ</t>
    </rPh>
    <phoneticPr fontId="1"/>
  </si>
  <si>
    <t>土の印</t>
    <rPh sb="0" eb="1">
      <t>ツチ</t>
    </rPh>
    <rPh sb="2" eb="3">
      <t>イン</t>
    </rPh>
    <phoneticPr fontId="1"/>
  </si>
  <si>
    <t>マナリア</t>
    <phoneticPr fontId="1"/>
  </si>
  <si>
    <t>ゴーレム</t>
    <phoneticPr fontId="1"/>
  </si>
  <si>
    <t>式神</t>
    <rPh sb="0" eb="2">
      <t>シキガミ</t>
    </rPh>
    <phoneticPr fontId="1"/>
  </si>
  <si>
    <t>アーティファクト</t>
    <phoneticPr fontId="1"/>
  </si>
  <si>
    <t>人形</t>
    <rPh sb="0" eb="2">
      <t>ニンギョウ</t>
    </rPh>
    <phoneticPr fontId="1"/>
  </si>
  <si>
    <t>海洋</t>
    <rPh sb="0" eb="2">
      <t>カイヨウ</t>
    </rPh>
    <phoneticPr fontId="1"/>
  </si>
  <si>
    <t>財宝</t>
    <rPh sb="0" eb="2">
      <t>ザイホウ</t>
    </rPh>
    <phoneticPr fontId="1"/>
  </si>
  <si>
    <t>アサイラント</t>
    <phoneticPr fontId="1"/>
  </si>
  <si>
    <t>アナテマ</t>
    <phoneticPr fontId="1"/>
  </si>
  <si>
    <t>SelectTrait</t>
    <phoneticPr fontId="1"/>
  </si>
  <si>
    <t>Trait[]</t>
    <phoneticPr fontId="1"/>
  </si>
  <si>
    <t>なし</t>
  </si>
  <si>
    <t>なし</t>
    <phoneticPr fontId="1"/>
  </si>
  <si>
    <t>ゴーレム</t>
  </si>
  <si>
    <t>ルミナス</t>
  </si>
  <si>
    <t>レヴィオン</t>
  </si>
  <si>
    <t>マナリア</t>
  </si>
  <si>
    <t>アーティファクト</t>
  </si>
  <si>
    <t>アサイラント</t>
  </si>
  <si>
    <t>アナテマ</t>
  </si>
  <si>
    <t>ウォーターフェアリー</t>
    <phoneticPr fontId="1"/>
  </si>
  <si>
    <t>フェアリーウィスパラー</t>
    <phoneticPr fontId="1"/>
  </si>
  <si>
    <t>エルフガード</t>
    <phoneticPr fontId="1"/>
  </si>
  <si>
    <t>ダークエルフ・フォーレ</t>
    <phoneticPr fontId="1"/>
  </si>
  <si>
    <t>大狼</t>
    <phoneticPr fontId="1"/>
  </si>
  <si>
    <t>トレント</t>
    <phoneticPr fontId="1"/>
  </si>
  <si>
    <t>エルフトラッカー</t>
    <phoneticPr fontId="1"/>
  </si>
  <si>
    <t>森荒らしへの報い</t>
    <phoneticPr fontId="1"/>
  </si>
  <si>
    <t>メタルエルフメイジ</t>
    <phoneticPr fontId="1"/>
  </si>
  <si>
    <t>ローズガーデンキーパー</t>
    <phoneticPr fontId="1"/>
  </si>
  <si>
    <t>マグナボタニスト</t>
    <phoneticPr fontId="1"/>
  </si>
  <si>
    <t>クイックブレーダー</t>
    <phoneticPr fontId="1"/>
  </si>
  <si>
    <t>オースレスナイト</t>
    <phoneticPr fontId="1"/>
  </si>
  <si>
    <t>クノイチエッグ</t>
    <phoneticPr fontId="1"/>
  </si>
  <si>
    <t>アセンティックナイト</t>
    <phoneticPr fontId="1"/>
  </si>
  <si>
    <t>ホワイトジェネラル</t>
    <phoneticPr fontId="1"/>
  </si>
  <si>
    <t>ニンジャマスター</t>
    <phoneticPr fontId="1"/>
  </si>
  <si>
    <t>疾風怒濤</t>
    <phoneticPr fontId="1"/>
  </si>
  <si>
    <t>武装強化</t>
    <phoneticPr fontId="1"/>
  </si>
  <si>
    <t>フローラルフェンサー</t>
    <phoneticPr fontId="1"/>
  </si>
  <si>
    <t>セージコマンダー</t>
    <phoneticPr fontId="1"/>
  </si>
  <si>
    <t>王家の御旗</t>
    <phoneticPr fontId="1"/>
  </si>
  <si>
    <t>ヘヴィーナイト</t>
    <phoneticPr fontId="1"/>
  </si>
  <si>
    <t>ルーキーマジシャン・サミー</t>
    <phoneticPr fontId="1"/>
  </si>
  <si>
    <t>知恵の光</t>
    <phoneticPr fontId="1"/>
  </si>
  <si>
    <t>マジックミサイル</t>
    <phoneticPr fontId="1"/>
  </si>
  <si>
    <t>ゴーレムの練成</t>
    <phoneticPr fontId="1"/>
  </si>
  <si>
    <t>ウィンドブラスト</t>
    <phoneticPr fontId="1"/>
  </si>
  <si>
    <t>サモンスノー</t>
    <phoneticPr fontId="1"/>
  </si>
  <si>
    <t>二重練成</t>
    <phoneticPr fontId="1"/>
  </si>
  <si>
    <t>炎の握撃</t>
    <phoneticPr fontId="1"/>
  </si>
  <si>
    <t>デモンフレイムメイジ</t>
    <phoneticPr fontId="1"/>
  </si>
  <si>
    <t>ライトニングシューター</t>
    <phoneticPr fontId="1"/>
  </si>
  <si>
    <t>フレイムデストロイヤー</t>
    <phoneticPr fontId="1"/>
  </si>
  <si>
    <t>スノーマン</t>
    <phoneticPr fontId="1"/>
  </si>
  <si>
    <t>ドラゴンライダー</t>
    <phoneticPr fontId="1"/>
  </si>
  <si>
    <t>古の飛竜</t>
    <phoneticPr fontId="1"/>
  </si>
  <si>
    <t>デスドラゴン</t>
    <phoneticPr fontId="1"/>
  </si>
  <si>
    <t>ディザスタードラゴン</t>
    <phoneticPr fontId="1"/>
  </si>
  <si>
    <t>ドラゴンガード</t>
    <phoneticPr fontId="1"/>
  </si>
  <si>
    <t>ブレイジングブレス</t>
    <phoneticPr fontId="1"/>
  </si>
  <si>
    <t>竜の託宣</t>
    <phoneticPr fontId="1"/>
  </si>
  <si>
    <t>竜の怒り</t>
    <phoneticPr fontId="1"/>
  </si>
  <si>
    <t>ドラゴンウォーリア</t>
    <phoneticPr fontId="1"/>
  </si>
  <si>
    <t>ドレッドドラゴン</t>
    <phoneticPr fontId="1"/>
  </si>
  <si>
    <t>灼熱の嵐</t>
    <phoneticPr fontId="1"/>
  </si>
  <si>
    <t>Blood</t>
  </si>
  <si>
    <t>Blood</t>
    <phoneticPr fontId="1"/>
  </si>
  <si>
    <t>Shadow</t>
  </si>
  <si>
    <t>Shadow</t>
    <phoneticPr fontId="1"/>
  </si>
  <si>
    <t>スパルトイサージェント</t>
    <phoneticPr fontId="1"/>
  </si>
  <si>
    <t>スペクター</t>
    <phoneticPr fontId="1"/>
  </si>
  <si>
    <t>ルーキーネクロマンサー</t>
    <phoneticPr fontId="1"/>
  </si>
  <si>
    <t>エルダースパルトイソルジャー</t>
    <phoneticPr fontId="1"/>
  </si>
  <si>
    <t>グレイブウェイカー</t>
    <phoneticPr fontId="1"/>
  </si>
  <si>
    <t>ゴーストライダー</t>
    <phoneticPr fontId="1"/>
  </si>
  <si>
    <t>消えぬ怨恨</t>
    <phoneticPr fontId="1"/>
  </si>
  <si>
    <t>深淵への誘い</t>
    <phoneticPr fontId="1"/>
  </si>
  <si>
    <t>悪戯なネクロマンサー</t>
    <phoneticPr fontId="1"/>
  </si>
  <si>
    <t>地獄の解放者</t>
    <phoneticPr fontId="1"/>
  </si>
  <si>
    <t>アンデッドキング</t>
    <phoneticPr fontId="1"/>
  </si>
  <si>
    <t>ゾンビ</t>
    <phoneticPr fontId="1"/>
  </si>
  <si>
    <t>リッチ</t>
    <phoneticPr fontId="1"/>
  </si>
  <si>
    <t>ナイトメア</t>
    <phoneticPr fontId="1"/>
  </si>
  <si>
    <t>スウィートヴァンパイア</t>
    <phoneticPr fontId="1"/>
  </si>
  <si>
    <t>狂気の処刑人</t>
    <phoneticPr fontId="1"/>
  </si>
  <si>
    <t>ダークジェネラル</t>
    <phoneticPr fontId="1"/>
  </si>
  <si>
    <t>インプランサー</t>
    <phoneticPr fontId="1"/>
  </si>
  <si>
    <t>血の取引</t>
    <phoneticPr fontId="1"/>
  </si>
  <si>
    <t>鋭利な一裂き</t>
    <phoneticPr fontId="1"/>
  </si>
  <si>
    <t>真紅の粛清</t>
    <phoneticPr fontId="1"/>
  </si>
  <si>
    <t>ワードローブレイダー</t>
    <phoneticPr fontId="1"/>
  </si>
  <si>
    <t>アビスビースト</t>
    <phoneticPr fontId="1"/>
  </si>
  <si>
    <t>デモンストーム</t>
    <phoneticPr fontId="1"/>
  </si>
  <si>
    <t>スネークプリースト</t>
    <phoneticPr fontId="1"/>
  </si>
  <si>
    <t>大修道女</t>
    <phoneticPr fontId="1"/>
  </si>
  <si>
    <t>気高き教理</t>
    <phoneticPr fontId="1"/>
  </si>
  <si>
    <t>漆黒の法典</t>
    <phoneticPr fontId="1"/>
  </si>
  <si>
    <t>破邪の光</t>
    <phoneticPr fontId="1"/>
  </si>
  <si>
    <t>詠唱：天馬召喚</t>
    <phoneticPr fontId="1"/>
  </si>
  <si>
    <t>詠唱：聖獣への誓い</t>
    <phoneticPr fontId="1"/>
  </si>
  <si>
    <t>詠唱：白竜降臨</t>
    <phoneticPr fontId="1"/>
  </si>
  <si>
    <t>高位プリースト</t>
    <phoneticPr fontId="1"/>
  </si>
  <si>
    <t>詠唱：二対の炎</t>
    <phoneticPr fontId="1"/>
  </si>
  <si>
    <t>鉄槌の僧侶</t>
    <phoneticPr fontId="1"/>
  </si>
  <si>
    <t>ペガサス</t>
    <phoneticPr fontId="1"/>
  </si>
  <si>
    <t>大翼の白竜</t>
    <phoneticPr fontId="1"/>
  </si>
  <si>
    <t>ドールユーザー</t>
    <phoneticPr fontId="1"/>
  </si>
  <si>
    <t>マキナサーヴァント</t>
    <phoneticPr fontId="1"/>
  </si>
  <si>
    <t>魔鉄の獅子</t>
    <phoneticPr fontId="1"/>
  </si>
  <si>
    <t>トイソルジャー</t>
    <phoneticPr fontId="1"/>
  </si>
  <si>
    <t>オートマタナイト</t>
    <phoneticPr fontId="1"/>
  </si>
  <si>
    <t>鉄鋼の拳闘士</t>
    <phoneticPr fontId="1"/>
  </si>
  <si>
    <t>黒鉄の兵士</t>
    <phoneticPr fontId="1"/>
  </si>
  <si>
    <t>次元断</t>
    <phoneticPr fontId="1"/>
  </si>
  <si>
    <t>魔鋼の傀儡</t>
    <phoneticPr fontId="1"/>
  </si>
  <si>
    <t>白黒翼・ネクス</t>
    <phoneticPr fontId="1"/>
  </si>
  <si>
    <t>人形遣いの糸</t>
    <phoneticPr fontId="1"/>
  </si>
  <si>
    <t>アナライズアーティファクト</t>
    <phoneticPr fontId="1"/>
  </si>
  <si>
    <t>レディアントアーティファクト</t>
    <phoneticPr fontId="1"/>
  </si>
  <si>
    <t>ミノタウロス</t>
    <phoneticPr fontId="1"/>
  </si>
  <si>
    <t>シールドエンジェル</t>
    <phoneticPr fontId="1"/>
  </si>
  <si>
    <t>ヒーリングエンジェル</t>
    <phoneticPr fontId="1"/>
  </si>
  <si>
    <t>デザートライダー</t>
    <phoneticPr fontId="1"/>
  </si>
  <si>
    <t>研磨の魔法</t>
    <phoneticPr fontId="1"/>
  </si>
  <si>
    <t>天上の楽曲</t>
    <phoneticPr fontId="1"/>
  </si>
  <si>
    <t>デモンストライク</t>
    <phoneticPr fontId="1"/>
  </si>
  <si>
    <t>ベルエンジェル</t>
    <phoneticPr fontId="1"/>
  </si>
  <si>
    <t>リザードマン</t>
    <phoneticPr fontId="1"/>
  </si>
  <si>
    <t>ゴブリンマウントデーモン</t>
    <phoneticPr fontId="1"/>
  </si>
  <si>
    <t>ギルガメッシュ</t>
    <phoneticPr fontId="1"/>
  </si>
  <si>
    <t>エンジェルスナイプ</t>
    <phoneticPr fontId="1"/>
  </si>
  <si>
    <t>光の道筋</t>
    <phoneticPr fontId="1"/>
  </si>
  <si>
    <t>エンジェルバレッジ</t>
    <phoneticPr fontId="1"/>
  </si>
  <si>
    <t>エクスキューション</t>
    <phoneticPr fontId="1"/>
  </si>
  <si>
    <t>ウルズ</t>
    <phoneticPr fontId="1"/>
  </si>
  <si>
    <t>風神</t>
    <phoneticPr fontId="1"/>
  </si>
  <si>
    <t>天翼を食う者</t>
    <phoneticPr fontId="1"/>
  </si>
  <si>
    <t>アテナ</t>
    <phoneticPr fontId="1"/>
  </si>
  <si>
    <t>新たなる運命</t>
    <phoneticPr fontId="1"/>
  </si>
  <si>
    <t>冥府への道</t>
    <phoneticPr fontId="1"/>
  </si>
  <si>
    <t>ガブリエル</t>
    <phoneticPr fontId="1"/>
  </si>
  <si>
    <t>ルシフェル</t>
    <phoneticPr fontId="1"/>
  </si>
  <si>
    <t>サタン</t>
    <phoneticPr fontId="1"/>
  </si>
  <si>
    <t>ディースの裁き</t>
    <phoneticPr fontId="1"/>
  </si>
  <si>
    <t>ベビーエルフ・メイ</t>
    <phoneticPr fontId="1"/>
  </si>
  <si>
    <t>ブレイブフェアリー</t>
    <phoneticPr fontId="1"/>
  </si>
  <si>
    <t>ダンジョンフェアリー</t>
    <phoneticPr fontId="1"/>
  </si>
  <si>
    <t>フェアリーブリンガー</t>
    <phoneticPr fontId="1"/>
  </si>
  <si>
    <t>ワンダーエルフメイジ</t>
    <phoneticPr fontId="1"/>
  </si>
  <si>
    <t>放浪するエルフ</t>
    <phoneticPr fontId="1"/>
  </si>
  <si>
    <t>アーチャー</t>
    <phoneticPr fontId="1"/>
  </si>
  <si>
    <t>沼の精</t>
    <phoneticPr fontId="1"/>
  </si>
  <si>
    <t>フェアリーキャスター</t>
    <phoneticPr fontId="1"/>
  </si>
  <si>
    <t>自然の導き</t>
    <phoneticPr fontId="1"/>
  </si>
  <si>
    <t>フェアリーサークル</t>
    <phoneticPr fontId="1"/>
  </si>
  <si>
    <t>妖精のいたずら</t>
    <phoneticPr fontId="1"/>
  </si>
  <si>
    <t>精霊の呪い</t>
    <phoneticPr fontId="1"/>
  </si>
  <si>
    <t>エレメンタルランス</t>
    <phoneticPr fontId="1"/>
  </si>
  <si>
    <t>義賊の流儀</t>
    <phoneticPr fontId="1"/>
  </si>
  <si>
    <t>まどろみの森</t>
    <phoneticPr fontId="1"/>
  </si>
  <si>
    <t>妖精の楽園</t>
    <phoneticPr fontId="1"/>
  </si>
  <si>
    <t>ブレスフェアリーダンサー</t>
    <phoneticPr fontId="1"/>
  </si>
  <si>
    <t>ワルツフェアリー</t>
    <phoneticPr fontId="1"/>
  </si>
  <si>
    <t>タムリン</t>
    <phoneticPr fontId="1"/>
  </si>
  <si>
    <t>カニバルフラワー</t>
    <phoneticPr fontId="1"/>
  </si>
  <si>
    <t>エルフプリンセスメイジ</t>
    <phoneticPr fontId="1"/>
  </si>
  <si>
    <t>マナエルク</t>
    <phoneticPr fontId="1"/>
  </si>
  <si>
    <t>エルフプロフェテス</t>
    <phoneticPr fontId="1"/>
  </si>
  <si>
    <t>エルダートレント</t>
    <phoneticPr fontId="1"/>
  </si>
  <si>
    <t>フェアリービースト</t>
    <phoneticPr fontId="1"/>
  </si>
  <si>
    <t>フォレストアケロウ</t>
    <phoneticPr fontId="1"/>
  </si>
  <si>
    <t>フォレストジャイアント</t>
    <phoneticPr fontId="1"/>
  </si>
  <si>
    <t>森の聖域</t>
    <phoneticPr fontId="1"/>
  </si>
  <si>
    <t>収穫祭</t>
    <phoneticPr fontId="1"/>
  </si>
  <si>
    <t>リノセウス</t>
    <phoneticPr fontId="1"/>
  </si>
  <si>
    <t>ペタルフェンサー</t>
    <phoneticPr fontId="1"/>
  </si>
  <si>
    <t>ノーブルフェアリー</t>
    <phoneticPr fontId="1"/>
  </si>
  <si>
    <t>ロビンフッド</t>
    <phoneticPr fontId="1"/>
  </si>
  <si>
    <t>エンシェントフォレストドラゴン</t>
    <phoneticPr fontId="1"/>
  </si>
  <si>
    <t>森の意志</t>
    <phoneticPr fontId="1"/>
  </si>
  <si>
    <t>根源への回帰</t>
    <phoneticPr fontId="1"/>
  </si>
  <si>
    <t>白銀の矢</t>
    <phoneticPr fontId="1"/>
  </si>
  <si>
    <t>ティターニアの妖精郷</t>
    <phoneticPr fontId="1"/>
  </si>
  <si>
    <t>エンシェントエルフ</t>
    <phoneticPr fontId="1"/>
  </si>
  <si>
    <t>フェアリープリンセス</t>
    <phoneticPr fontId="1"/>
  </si>
  <si>
    <t>ローズクイーン</t>
    <phoneticPr fontId="1"/>
  </si>
  <si>
    <t>薔薇の一撃</t>
    <phoneticPr fontId="1"/>
  </si>
  <si>
    <t>ニンジャエッグ</t>
    <phoneticPr fontId="1"/>
  </si>
  <si>
    <t>ヴァンガード</t>
    <phoneticPr fontId="1"/>
  </si>
  <si>
    <t>指揮官</t>
    <rPh sb="0" eb="3">
      <t>シキカン</t>
    </rPh>
    <phoneticPr fontId="1"/>
  </si>
  <si>
    <t>機械</t>
    <rPh sb="0" eb="2">
      <t>キカイ</t>
    </rPh>
    <phoneticPr fontId="1"/>
  </si>
  <si>
    <t>自然</t>
    <rPh sb="0" eb="2">
      <t>シゼン</t>
    </rPh>
    <phoneticPr fontId="1"/>
  </si>
  <si>
    <t>宴楽</t>
    <rPh sb="0" eb="2">
      <t>エンラク</t>
    </rPh>
    <phoneticPr fontId="1"/>
  </si>
  <si>
    <t>ヒーロー</t>
    <phoneticPr fontId="1"/>
  </si>
  <si>
    <t>チェス</t>
    <phoneticPr fontId="1"/>
  </si>
  <si>
    <t>武装</t>
    <rPh sb="0" eb="2">
      <t>ブソウ</t>
    </rPh>
    <phoneticPr fontId="1"/>
  </si>
  <si>
    <t>八獄</t>
    <rPh sb="0" eb="2">
      <t>ハチゴク</t>
    </rPh>
    <phoneticPr fontId="1"/>
  </si>
  <si>
    <t>すべて</t>
    <phoneticPr fontId="1"/>
  </si>
  <si>
    <t>学園</t>
    <rPh sb="0" eb="2">
      <t>ガクエン</t>
    </rPh>
    <phoneticPr fontId="1"/>
  </si>
  <si>
    <t>不屈の兵士</t>
    <phoneticPr fontId="1"/>
  </si>
  <si>
    <t>パレスフェンサー</t>
    <phoneticPr fontId="1"/>
  </si>
  <si>
    <t>サイクロンソルジャー</t>
    <phoneticPr fontId="1"/>
  </si>
  <si>
    <t>ケンタウロスヴァンガード</t>
    <phoneticPr fontId="1"/>
  </si>
  <si>
    <t>歴戦のランサー</t>
    <phoneticPr fontId="1"/>
  </si>
  <si>
    <t>フェンサー</t>
    <phoneticPr fontId="1"/>
  </si>
  <si>
    <t>ノーヴィストルーパー</t>
    <phoneticPr fontId="1"/>
  </si>
  <si>
    <t>スニッピーガーデナー</t>
    <phoneticPr fontId="1"/>
  </si>
  <si>
    <t>パイレーツ</t>
    <phoneticPr fontId="1"/>
  </si>
  <si>
    <t>勇猛たる騎士</t>
    <phoneticPr fontId="1"/>
  </si>
  <si>
    <t>セントリーナイト</t>
    <phoneticPr fontId="1"/>
  </si>
  <si>
    <t>戦場の騎兵</t>
    <phoneticPr fontId="1"/>
  </si>
  <si>
    <t>アドミラル</t>
    <phoneticPr fontId="1"/>
  </si>
  <si>
    <t>ジャイアントスレイヤー</t>
    <phoneticPr fontId="1"/>
  </si>
  <si>
    <t>激励の舞</t>
    <phoneticPr fontId="1"/>
  </si>
  <si>
    <t>猛襲</t>
    <phoneticPr fontId="1"/>
  </si>
  <si>
    <t>メイドリーダー</t>
    <phoneticPr fontId="1"/>
  </si>
  <si>
    <t>アサシン</t>
    <phoneticPr fontId="1"/>
  </si>
  <si>
    <t>ルミナスナイト</t>
    <phoneticPr fontId="1"/>
  </si>
  <si>
    <t>プリンセスヴァンガード</t>
    <phoneticPr fontId="1"/>
  </si>
  <si>
    <t>ネイビールテナント</t>
    <phoneticPr fontId="1"/>
  </si>
  <si>
    <t>わがままプリンセス</t>
    <phoneticPr fontId="1"/>
  </si>
  <si>
    <t>カースドジェネラル</t>
    <phoneticPr fontId="1"/>
  </si>
  <si>
    <t>剣豪</t>
    <phoneticPr fontId="1"/>
  </si>
  <si>
    <t>パーシヴァル</t>
    <phoneticPr fontId="1"/>
  </si>
  <si>
    <t>ノーブルナイト</t>
    <phoneticPr fontId="1"/>
  </si>
  <si>
    <t>レイジングジェネラル</t>
    <phoneticPr fontId="1"/>
  </si>
  <si>
    <t>兵士徴集</t>
    <phoneticPr fontId="1"/>
  </si>
  <si>
    <t>鉄壁の城塞</t>
    <phoneticPr fontId="1"/>
  </si>
  <si>
    <t>宝杖の司令官</t>
    <phoneticPr fontId="1"/>
  </si>
  <si>
    <t>闇を纏う暗殺者</t>
    <phoneticPr fontId="1"/>
  </si>
  <si>
    <t>ヴァンガード・レイサム</t>
    <phoneticPr fontId="1"/>
  </si>
  <si>
    <t>フロントガードジェネラル</t>
    <phoneticPr fontId="1"/>
  </si>
  <si>
    <t>ドラゴニュート・シャルロット</t>
    <phoneticPr fontId="1"/>
  </si>
  <si>
    <t>軍師の妙策</t>
    <phoneticPr fontId="1"/>
  </si>
  <si>
    <t>アルビダの号令</t>
    <phoneticPr fontId="1"/>
  </si>
  <si>
    <t>最前線</t>
    <phoneticPr fontId="1"/>
  </si>
  <si>
    <t>騎士王の威光</t>
    <phoneticPr fontId="1"/>
  </si>
  <si>
    <t>ロイヤルセイバー・オーレリア</t>
    <phoneticPr fontId="1"/>
  </si>
  <si>
    <t>海底都市王・乙姫</t>
    <phoneticPr fontId="1"/>
  </si>
  <si>
    <t>ツバキ</t>
    <phoneticPr fontId="1"/>
  </si>
  <si>
    <t>ヴァイキング</t>
    <phoneticPr fontId="1"/>
  </si>
  <si>
    <t>フォートレスガード</t>
    <phoneticPr fontId="1"/>
  </si>
  <si>
    <t>ペンギンウィザード</t>
    <phoneticPr fontId="1"/>
  </si>
  <si>
    <t>クラフトウォーロック</t>
    <phoneticPr fontId="1"/>
  </si>
  <si>
    <t>ルーキーアルケミスト</t>
    <phoneticPr fontId="1"/>
  </si>
  <si>
    <t>ルーンガーディアン</t>
    <phoneticPr fontId="1"/>
  </si>
  <si>
    <t>ガントレットヒーラー</t>
    <phoneticPr fontId="1"/>
  </si>
  <si>
    <t>結界魔術師</t>
    <phoneticPr fontId="1"/>
  </si>
  <si>
    <t>上級アルケミスト</t>
    <phoneticPr fontId="1"/>
  </si>
  <si>
    <t>旋風の魔術師</t>
    <phoneticPr fontId="1"/>
  </si>
  <si>
    <t>マスターアルケミスト</t>
    <phoneticPr fontId="1"/>
  </si>
  <si>
    <t>怨恨の魔女</t>
    <phoneticPr fontId="1"/>
  </si>
  <si>
    <t>虹の輝き</t>
    <phoneticPr fontId="1"/>
  </si>
  <si>
    <t>地裂弾</t>
    <phoneticPr fontId="1"/>
  </si>
  <si>
    <t>運命の導き</t>
    <phoneticPr fontId="1"/>
  </si>
  <si>
    <t>双璧の召喚</t>
    <phoneticPr fontId="1"/>
  </si>
  <si>
    <t>雄大なる教え</t>
    <phoneticPr fontId="1"/>
  </si>
  <si>
    <t>初級錬金実験</t>
    <phoneticPr fontId="1"/>
  </si>
  <si>
    <t>錬金工房</t>
    <phoneticPr fontId="1"/>
  </si>
  <si>
    <t>スカラーウィッチ</t>
    <phoneticPr fontId="1"/>
  </si>
  <si>
    <t>スペクトラルウィザード</t>
    <phoneticPr fontId="1"/>
  </si>
  <si>
    <t>クイーン・メイヴ</t>
    <phoneticPr fontId="1"/>
  </si>
  <si>
    <t>ルーンブレードサモナー</t>
    <phoneticPr fontId="1"/>
  </si>
  <si>
    <t>フレイムウィッチ</t>
    <phoneticPr fontId="1"/>
  </si>
  <si>
    <t>ジュエルゴーレム</t>
    <phoneticPr fontId="1"/>
  </si>
  <si>
    <t>ウィッチクラフト・マギサ</t>
    <phoneticPr fontId="1"/>
  </si>
  <si>
    <t>実験開始</t>
    <phoneticPr fontId="1"/>
  </si>
  <si>
    <t>魔力の蓄積</t>
    <phoneticPr fontId="1"/>
  </si>
  <si>
    <t>変成の魔術</t>
    <phoneticPr fontId="1"/>
  </si>
  <si>
    <t>ゴーレムプロテクション</t>
    <phoneticPr fontId="1"/>
  </si>
  <si>
    <t>アルケミックロア</t>
    <phoneticPr fontId="1"/>
  </si>
  <si>
    <t>錬金術の代償</t>
    <phoneticPr fontId="1"/>
  </si>
  <si>
    <t>エンシェントアルケミスト</t>
    <phoneticPr fontId="1"/>
  </si>
  <si>
    <t>ドラゴンメイジ</t>
    <phoneticPr fontId="1"/>
  </si>
  <si>
    <t>ファーストカース</t>
    <phoneticPr fontId="1"/>
  </si>
  <si>
    <t>ファイアーチェイン</t>
    <phoneticPr fontId="1"/>
  </si>
  <si>
    <t>冬の女王の気紛れ</t>
    <phoneticPr fontId="1"/>
  </si>
  <si>
    <t>神秘の獲得</t>
    <phoneticPr fontId="1"/>
  </si>
  <si>
    <t>次元の超越</t>
    <phoneticPr fontId="1"/>
  </si>
  <si>
    <t>魔導の力場</t>
    <phoneticPr fontId="1"/>
  </si>
  <si>
    <t>ノノの秘密研究室</t>
    <phoneticPr fontId="1"/>
  </si>
  <si>
    <t>マーリン</t>
    <phoneticPr fontId="1"/>
  </si>
  <si>
    <t>アークサモナー・エラスムス</t>
    <phoneticPr fontId="1"/>
  </si>
  <si>
    <t>ミスリルゴーレム</t>
    <phoneticPr fontId="1"/>
  </si>
  <si>
    <t>ガーディアンの練成</t>
    <phoneticPr fontId="1"/>
  </si>
  <si>
    <t>土の魔片</t>
    <phoneticPr fontId="1"/>
  </si>
  <si>
    <t>セカンドカース</t>
    <phoneticPr fontId="1"/>
  </si>
  <si>
    <t>ファイナルカース</t>
    <phoneticPr fontId="1"/>
  </si>
  <si>
    <t>アイボリードラゴン</t>
    <phoneticPr fontId="1"/>
  </si>
  <si>
    <t>大嵐のドラゴン</t>
    <phoneticPr fontId="1"/>
  </si>
  <si>
    <t>サンドストームドラゴン</t>
    <phoneticPr fontId="1"/>
  </si>
  <si>
    <t>ファイアーリザード</t>
    <phoneticPr fontId="1"/>
  </si>
  <si>
    <t>ドラゴンナイト・アイラ</t>
    <phoneticPr fontId="1"/>
  </si>
  <si>
    <t>ツインヘッドドラゴン</t>
    <phoneticPr fontId="1"/>
  </si>
  <si>
    <t>ルフ鳥</t>
    <phoneticPr fontId="1"/>
  </si>
  <si>
    <t>トリニティドラゴン</t>
    <phoneticPr fontId="1"/>
  </si>
  <si>
    <t>グリントドラゴン</t>
    <phoneticPr fontId="1"/>
  </si>
  <si>
    <t>海剣竜</t>
    <phoneticPr fontId="1"/>
  </si>
  <si>
    <t>スカルドラゴン</t>
    <phoneticPr fontId="1"/>
  </si>
  <si>
    <t>氷結のドラゴン</t>
    <phoneticPr fontId="1"/>
  </si>
  <si>
    <t>インフェルノドラゴン</t>
    <phoneticPr fontId="1"/>
  </si>
  <si>
    <t>竜の翼</t>
    <phoneticPr fontId="1"/>
  </si>
  <si>
    <t>ワイルドハント</t>
    <phoneticPr fontId="1"/>
  </si>
  <si>
    <t>竜の咆哮</t>
    <phoneticPr fontId="1"/>
  </si>
  <si>
    <t>竜の力</t>
    <phoneticPr fontId="1"/>
  </si>
  <si>
    <t>ドラゴニュートプリンセス</t>
    <phoneticPr fontId="1"/>
  </si>
  <si>
    <t>スカイドラコ・エチカ</t>
    <phoneticPr fontId="1"/>
  </si>
  <si>
    <t>プリズンドラゴン</t>
    <phoneticPr fontId="1"/>
  </si>
  <si>
    <t>エースドラグーン</t>
    <phoneticPr fontId="1"/>
  </si>
  <si>
    <t>グリムリーパー</t>
    <phoneticPr fontId="1"/>
  </si>
  <si>
    <t>リヴァイアサン</t>
    <phoneticPr fontId="1"/>
  </si>
  <si>
    <t>ライトニングベヒモス</t>
    <phoneticPr fontId="1"/>
  </si>
  <si>
    <t>ドラゴンライダーデビル</t>
    <phoneticPr fontId="1"/>
  </si>
  <si>
    <t>ミストドラゴン</t>
    <phoneticPr fontId="1"/>
  </si>
  <si>
    <t>神龍</t>
    <phoneticPr fontId="1"/>
  </si>
  <si>
    <t>竜化の秘法</t>
    <phoneticPr fontId="1"/>
  </si>
  <si>
    <t>竜の伝令</t>
    <phoneticPr fontId="1"/>
  </si>
  <si>
    <t>黄金竜の棲家</t>
    <phoneticPr fontId="1"/>
  </si>
  <si>
    <t>ドラゴニュートスカラー</t>
    <phoneticPr fontId="1"/>
  </si>
  <si>
    <t>変化する魔術師</t>
    <phoneticPr fontId="1"/>
  </si>
  <si>
    <t>デスミストドラゴン</t>
    <phoneticPr fontId="1"/>
  </si>
  <si>
    <t>騎竜兵</t>
    <phoneticPr fontId="1"/>
  </si>
  <si>
    <t>ハイドラ</t>
    <phoneticPr fontId="1"/>
  </si>
  <si>
    <t>オーブドラゴン</t>
    <phoneticPr fontId="1"/>
  </si>
  <si>
    <t>ジェネシスドラゴン</t>
    <phoneticPr fontId="1"/>
  </si>
  <si>
    <t>鳳凰の庭園</t>
    <phoneticPr fontId="1"/>
  </si>
  <si>
    <t>竜化の塔</t>
    <phoneticPr fontId="1"/>
  </si>
  <si>
    <t>ダークドラグーン・フォルテ</t>
    <phoneticPr fontId="1"/>
  </si>
  <si>
    <t>ジルニトラ</t>
    <phoneticPr fontId="1"/>
  </si>
  <si>
    <t>ファフニール</t>
    <phoneticPr fontId="1"/>
  </si>
  <si>
    <t>ドラゴン</t>
    <phoneticPr fontId="1"/>
  </si>
  <si>
    <t>突風のドラゴン</t>
    <phoneticPr fontId="1"/>
  </si>
  <si>
    <t>スカルビースト</t>
    <phoneticPr fontId="1"/>
  </si>
  <si>
    <t>スケルトンヴァイパー</t>
    <phoneticPr fontId="1"/>
  </si>
  <si>
    <t>スカルウィドウ</t>
    <phoneticPr fontId="1"/>
  </si>
  <si>
    <t>ワイト</t>
    <phoneticPr fontId="1"/>
  </si>
  <si>
    <t>レッサーマミー</t>
    <phoneticPr fontId="1"/>
  </si>
  <si>
    <t>纏わりつく亡霊</t>
    <phoneticPr fontId="1"/>
  </si>
  <si>
    <t>ラビットネクロマンサー</t>
    <phoneticPr fontId="1"/>
  </si>
  <si>
    <t>スケルトンナイト</t>
    <phoneticPr fontId="1"/>
  </si>
  <si>
    <t>スパルトイ</t>
    <phoneticPr fontId="1"/>
  </si>
  <si>
    <t>ギルティクーリエ</t>
    <phoneticPr fontId="1"/>
  </si>
  <si>
    <t>ソウルイーター</t>
    <phoneticPr fontId="1"/>
  </si>
  <si>
    <t>カースドソルジャー</t>
    <phoneticPr fontId="1"/>
  </si>
  <si>
    <t>オルクス</t>
    <phoneticPr fontId="1"/>
  </si>
  <si>
    <t>ソウルコンバージョン</t>
    <phoneticPr fontId="1"/>
  </si>
  <si>
    <t>死への近道</t>
    <phoneticPr fontId="1"/>
  </si>
  <si>
    <t>ソウルハント</t>
    <phoneticPr fontId="1"/>
  </si>
  <si>
    <t>汚れた再生</t>
    <phoneticPr fontId="1"/>
  </si>
  <si>
    <t>スケルトンファイター</t>
    <phoneticPr fontId="1"/>
  </si>
  <si>
    <t>デッドリーウィドウ</t>
    <phoneticPr fontId="1"/>
  </si>
  <si>
    <t>ネクロエレメンタラー</t>
    <phoneticPr fontId="1"/>
  </si>
  <si>
    <t>ゴエティアメイジ</t>
    <phoneticPr fontId="1"/>
  </si>
  <si>
    <t>スカルライダー</t>
    <phoneticPr fontId="1"/>
  </si>
  <si>
    <t>ソウルグラットン</t>
    <phoneticPr fontId="1"/>
  </si>
  <si>
    <t>魂飢の亡霊</t>
    <phoneticPr fontId="1"/>
  </si>
  <si>
    <t>デュラハン</t>
    <phoneticPr fontId="1"/>
  </si>
  <si>
    <t>死都の女王</t>
    <phoneticPr fontId="1"/>
  </si>
  <si>
    <t>ソウルグラインダー</t>
    <phoneticPr fontId="1"/>
  </si>
  <si>
    <t>幽体化</t>
    <phoneticPr fontId="1"/>
  </si>
  <si>
    <t>再生の呪印</t>
    <phoneticPr fontId="1"/>
  </si>
  <si>
    <t>集団埋葬地</t>
    <phoneticPr fontId="1"/>
  </si>
  <si>
    <t>マダムリッチ</t>
    <phoneticPr fontId="1"/>
  </si>
  <si>
    <t>ワイトキング</t>
    <phoneticPr fontId="1"/>
  </si>
  <si>
    <t>ファントムドラゴン</t>
    <phoneticPr fontId="1"/>
  </si>
  <si>
    <t>デスタイラント</t>
    <phoneticPr fontId="1"/>
  </si>
  <si>
    <t>デュエリスト・モルディカイ</t>
    <phoneticPr fontId="1"/>
  </si>
  <si>
    <t>腐の嵐</t>
    <phoneticPr fontId="1"/>
  </si>
  <si>
    <t>ファントムハウル</t>
    <phoneticPr fontId="1"/>
  </si>
  <si>
    <t>死の祝福</t>
    <phoneticPr fontId="1"/>
  </si>
  <si>
    <t>悪霊の饗宴</t>
    <phoneticPr fontId="1"/>
  </si>
  <si>
    <t>ケルベロス</t>
    <phoneticPr fontId="1"/>
  </si>
  <si>
    <t>プルート</t>
    <phoneticPr fontId="1"/>
  </si>
  <si>
    <t>骸の王</t>
    <phoneticPr fontId="1"/>
  </si>
  <si>
    <t>ミミ</t>
    <phoneticPr fontId="1"/>
  </si>
  <si>
    <t>ココ</t>
    <phoneticPr fontId="1"/>
  </si>
  <si>
    <t>蠢く死霊</t>
    <phoneticPr fontId="1"/>
  </si>
  <si>
    <t>フォレストバット</t>
    <phoneticPr fontId="1"/>
  </si>
  <si>
    <t>リリム</t>
    <phoneticPr fontId="1"/>
  </si>
  <si>
    <t>ヴェノムコブラ</t>
    <phoneticPr fontId="1"/>
  </si>
  <si>
    <t>レイニーデビル</t>
    <phoneticPr fontId="1"/>
  </si>
  <si>
    <t>ブラッドウルフ</t>
    <phoneticPr fontId="1"/>
  </si>
  <si>
    <t>メタルガーゴイル</t>
    <phoneticPr fontId="1"/>
  </si>
  <si>
    <t>キラーデビル</t>
    <phoneticPr fontId="1"/>
  </si>
  <si>
    <t>デモンハンドアサシン</t>
    <phoneticPr fontId="1"/>
  </si>
  <si>
    <t>デモンスナイパー</t>
    <phoneticPr fontId="1"/>
  </si>
  <si>
    <t>サキュバス</t>
    <phoneticPr fontId="1"/>
  </si>
  <si>
    <t>憤怒の巨人</t>
    <phoneticPr fontId="1"/>
  </si>
  <si>
    <t>バーバリックデーモン</t>
    <phoneticPr fontId="1"/>
  </si>
  <si>
    <t>強欲な魔獣</t>
    <phoneticPr fontId="1"/>
  </si>
  <si>
    <t>ランページジャイアント</t>
    <phoneticPr fontId="1"/>
  </si>
  <si>
    <t>リミルの秘密</t>
    <phoneticPr fontId="1"/>
  </si>
  <si>
    <t>眷属の召喚</t>
    <phoneticPr fontId="1"/>
  </si>
  <si>
    <t>ブラッドレイジ</t>
    <phoneticPr fontId="1"/>
  </si>
  <si>
    <t>呪剣の吸血鬼</t>
    <phoneticPr fontId="1"/>
  </si>
  <si>
    <t>モルモ</t>
    <phoneticPr fontId="1"/>
  </si>
  <si>
    <t>ダークサモナー</t>
    <phoneticPr fontId="1"/>
  </si>
  <si>
    <t>復讐の悪魔</t>
    <phoneticPr fontId="1"/>
  </si>
  <si>
    <t>ミッドナイトヴァンパイア</t>
    <phoneticPr fontId="1"/>
  </si>
  <si>
    <t>ヴァンパイアライカン</t>
    <phoneticPr fontId="1"/>
  </si>
  <si>
    <t>仮面の殺戮者</t>
    <phoneticPr fontId="1"/>
  </si>
  <si>
    <t>ゲリュオン</t>
    <phoneticPr fontId="1"/>
  </si>
  <si>
    <t>ヴァンパイアバード</t>
    <phoneticPr fontId="1"/>
  </si>
  <si>
    <t>アルカード</t>
    <phoneticPr fontId="1"/>
  </si>
  <si>
    <t>夜の群れ</t>
    <phoneticPr fontId="1"/>
  </si>
  <si>
    <t>獰猛な捕食</t>
    <phoneticPr fontId="1"/>
  </si>
  <si>
    <t>鮮血の花園</t>
    <phoneticPr fontId="1"/>
  </si>
  <si>
    <t>デモンコマンダー・ラウラ</t>
    <phoneticPr fontId="1"/>
  </si>
  <si>
    <t>裁きの悪魔</t>
    <phoneticPr fontId="1"/>
  </si>
  <si>
    <t>エリニュス</t>
    <phoneticPr fontId="1"/>
  </si>
  <si>
    <t>メドゥーサ</t>
    <phoneticPr fontId="1"/>
  </si>
  <si>
    <t>フリアエ</t>
    <phoneticPr fontId="1"/>
  </si>
  <si>
    <t>セクシーヴァンパイア</t>
    <phoneticPr fontId="1"/>
  </si>
  <si>
    <t>ディアボリックドレイン</t>
    <phoneticPr fontId="1"/>
  </si>
  <si>
    <t>黙示録</t>
    <phoneticPr fontId="1"/>
  </si>
  <si>
    <t>漆黒の契約</t>
    <phoneticPr fontId="1"/>
  </si>
  <si>
    <t>ソウルディーラー</t>
    <phoneticPr fontId="1"/>
  </si>
  <si>
    <t>ビーストドミネーター</t>
    <phoneticPr fontId="1"/>
  </si>
  <si>
    <t>クイーンヴァンパイア</t>
    <phoneticPr fontId="1"/>
  </si>
  <si>
    <t>ラビットヒーラー</t>
    <phoneticPr fontId="1"/>
  </si>
  <si>
    <t>アーデントシスター</t>
    <phoneticPr fontId="1"/>
  </si>
  <si>
    <t>マイニュ</t>
    <phoneticPr fontId="1"/>
  </si>
  <si>
    <t>見習いシスター</t>
    <phoneticPr fontId="1"/>
  </si>
  <si>
    <t>ダークプリースト</t>
    <phoneticPr fontId="1"/>
  </si>
  <si>
    <t>ガーディアンシスター</t>
    <phoneticPr fontId="1"/>
  </si>
  <si>
    <t>敬虔な修道女</t>
    <phoneticPr fontId="1"/>
  </si>
  <si>
    <t>ドリームラビット</t>
    <phoneticPr fontId="1"/>
  </si>
  <si>
    <t>ヒールプリースト</t>
    <phoneticPr fontId="1"/>
  </si>
  <si>
    <t>ディバインアーマー</t>
    <phoneticPr fontId="1"/>
  </si>
  <si>
    <t>マスクジャイアント</t>
    <phoneticPr fontId="1"/>
  </si>
  <si>
    <t>守護の力</t>
    <phoneticPr fontId="1"/>
  </si>
  <si>
    <t>治癒の祈り</t>
    <phoneticPr fontId="1"/>
  </si>
  <si>
    <t>詠唱：白翼への祈り</t>
    <phoneticPr fontId="1"/>
  </si>
  <si>
    <t>詠唱：聖なる願い</t>
    <phoneticPr fontId="1"/>
  </si>
  <si>
    <t>詠唱：異端審問</t>
    <phoneticPr fontId="1"/>
  </si>
  <si>
    <t>詠唱：神鳥の呼び笛</t>
    <phoneticPr fontId="1"/>
  </si>
  <si>
    <t>詠唱：清浄の狐</t>
    <phoneticPr fontId="1"/>
  </si>
  <si>
    <t>ガーディアンフォックス</t>
    <phoneticPr fontId="1"/>
  </si>
  <si>
    <t>バロン</t>
    <phoneticPr fontId="1"/>
  </si>
  <si>
    <t>加護の修道女</t>
    <phoneticPr fontId="1"/>
  </si>
  <si>
    <t>教会の護り手</t>
    <phoneticPr fontId="1"/>
  </si>
  <si>
    <t>プリズムプリースト</t>
    <phoneticPr fontId="1"/>
  </si>
  <si>
    <t>レディアントシャーマン</t>
    <phoneticPr fontId="1"/>
  </si>
  <si>
    <t>ホーリーメイジ</t>
    <phoneticPr fontId="1"/>
  </si>
  <si>
    <t>残忍な修道女</t>
    <phoneticPr fontId="1"/>
  </si>
  <si>
    <t>クレリックランサー</t>
    <phoneticPr fontId="1"/>
  </si>
  <si>
    <t>シュラインナイトメイデン</t>
    <phoneticPr fontId="1"/>
  </si>
  <si>
    <t>神託の貴族</t>
    <phoneticPr fontId="1"/>
  </si>
  <si>
    <t>ホワイトナイト</t>
    <phoneticPr fontId="1"/>
  </si>
  <si>
    <t>守護の陽光</t>
    <phoneticPr fontId="1"/>
  </si>
  <si>
    <t>詠唱：聖獅子の牙</t>
    <phoneticPr fontId="1"/>
  </si>
  <si>
    <t>詠唱：死の宣告</t>
    <phoneticPr fontId="1"/>
  </si>
  <si>
    <t>アークビショップ・レリア</t>
    <phoneticPr fontId="1"/>
  </si>
  <si>
    <t>光輝ドラゴン</t>
    <phoneticPr fontId="1"/>
  </si>
  <si>
    <t>愛の福音</t>
    <phoneticPr fontId="1"/>
  </si>
  <si>
    <t>ダークオファリング</t>
    <phoneticPr fontId="1"/>
  </si>
  <si>
    <t>テミスの審判</t>
    <phoneticPr fontId="1"/>
  </si>
  <si>
    <t>詠唱：夢想の白兎</t>
    <phoneticPr fontId="1"/>
  </si>
  <si>
    <t>詠唱：神域の守護者</t>
    <phoneticPr fontId="1"/>
  </si>
  <si>
    <t>詠唱：天喰らう聖竜</t>
    <phoneticPr fontId="1"/>
  </si>
  <si>
    <t>祈りの集約</t>
    <phoneticPr fontId="1"/>
  </si>
  <si>
    <t>ムーンアルミラージ</t>
    <phoneticPr fontId="1"/>
  </si>
  <si>
    <t>ジャンヌダルク</t>
    <phoneticPr fontId="1"/>
  </si>
  <si>
    <t>スカルフェイン</t>
    <phoneticPr fontId="1"/>
  </si>
  <si>
    <t>レイジングエティン</t>
    <phoneticPr fontId="1"/>
  </si>
  <si>
    <t>インペリアルマンモス</t>
    <phoneticPr fontId="1"/>
  </si>
  <si>
    <t>死の舞踏</t>
    <phoneticPr fontId="1"/>
  </si>
  <si>
    <t>魔術書の解読</t>
    <phoneticPr fontId="1"/>
  </si>
  <si>
    <t>ユニコーンの踊り手・ユニコ</t>
    <phoneticPr fontId="1"/>
  </si>
  <si>
    <t>ハンプティダンプティ</t>
    <phoneticPr fontId="1"/>
  </si>
  <si>
    <t>烈火の魔弾</t>
    <phoneticPr fontId="1"/>
  </si>
  <si>
    <t>忌むべき悪魔の像</t>
    <phoneticPr fontId="1"/>
  </si>
  <si>
    <t>アークエンジェル・レイナ</t>
    <phoneticPr fontId="1"/>
  </si>
  <si>
    <t>ダークエンジェル・オリヴィエ</t>
    <phoneticPr fontId="1"/>
  </si>
  <si>
    <t>オーディン</t>
    <phoneticPr fontId="1"/>
  </si>
  <si>
    <t>パフュームドワーフ</t>
    <phoneticPr fontId="1"/>
  </si>
  <si>
    <t>エルフバード</t>
    <phoneticPr fontId="1"/>
  </si>
  <si>
    <t>癒しのエルフ</t>
    <phoneticPr fontId="1"/>
  </si>
  <si>
    <t>森隠れの獣人</t>
    <phoneticPr fontId="1"/>
  </si>
  <si>
    <t>深緑の守護者</t>
    <phoneticPr fontId="1"/>
  </si>
  <si>
    <t>翅の輝き</t>
    <phoneticPr fontId="1"/>
  </si>
  <si>
    <t>千年妖狐・ユエル</t>
    <phoneticPr fontId="1"/>
  </si>
  <si>
    <t>太古の森神</t>
    <phoneticPr fontId="1"/>
  </si>
  <si>
    <t>エルフキング・ヴァルト</t>
    <phoneticPr fontId="1"/>
  </si>
  <si>
    <t>エルフの弓術</t>
    <phoneticPr fontId="1"/>
  </si>
  <si>
    <t>エルフの少女・リザ</t>
    <phoneticPr fontId="1"/>
  </si>
  <si>
    <t>エルフナイト・シンシア</t>
    <phoneticPr fontId="1"/>
  </si>
  <si>
    <t>グランドアーチャー・セルウィン</t>
    <phoneticPr fontId="1"/>
  </si>
  <si>
    <t>クリスタリア・イヴ</t>
    <phoneticPr fontId="1"/>
  </si>
  <si>
    <t>クリスタリアプリンセス・ティア</t>
    <phoneticPr fontId="1"/>
  </si>
  <si>
    <t>勇敢なる旗手</t>
    <phoneticPr fontId="1"/>
  </si>
  <si>
    <t>スウィフトペネトレーター</t>
    <phoneticPr fontId="1"/>
  </si>
  <si>
    <t>ミラージュディフェンサー</t>
    <phoneticPr fontId="1"/>
  </si>
  <si>
    <t>アサルトコマンダー</t>
    <phoneticPr fontId="1"/>
  </si>
  <si>
    <t>アドバンスブレーダー</t>
    <phoneticPr fontId="1"/>
  </si>
  <si>
    <t>師の教え</t>
    <phoneticPr fontId="1"/>
  </si>
  <si>
    <t>ガンナーメイド・セリエ</t>
    <phoneticPr fontId="1"/>
  </si>
  <si>
    <t>冷酷なる暗殺者</t>
    <phoneticPr fontId="1"/>
  </si>
  <si>
    <t>コウガクノイチ</t>
    <phoneticPr fontId="1"/>
  </si>
  <si>
    <t>渾身の一振り</t>
    <phoneticPr fontId="1"/>
  </si>
  <si>
    <t>ホワイトパラディン</t>
    <phoneticPr fontId="1"/>
  </si>
  <si>
    <t>レオニダス</t>
    <phoneticPr fontId="1"/>
  </si>
  <si>
    <t>盗賊の極意</t>
    <phoneticPr fontId="1"/>
  </si>
  <si>
    <t>アレキサンダー</t>
    <phoneticPr fontId="1"/>
  </si>
  <si>
    <t>シールドガーディアン</t>
    <phoneticPr fontId="1"/>
  </si>
  <si>
    <t>レオニダスの遺志</t>
    <phoneticPr fontId="1"/>
  </si>
  <si>
    <t>ベビーウィッチ・エミル</t>
    <phoneticPr fontId="1"/>
  </si>
  <si>
    <t>水晶の魔撃手</t>
    <phoneticPr fontId="1"/>
  </si>
  <si>
    <t>グランドガーゴイル</t>
    <phoneticPr fontId="1"/>
  </si>
  <si>
    <t>魔女の雷撃</t>
    <phoneticPr fontId="1"/>
  </si>
  <si>
    <t>くず鉄の練成</t>
    <phoneticPr fontId="1"/>
  </si>
  <si>
    <t>炎熱の術式</t>
    <phoneticPr fontId="1"/>
  </si>
  <si>
    <t>ジャンクゴーレム</t>
    <phoneticPr fontId="1"/>
  </si>
  <si>
    <t>フリーズゴーレム</t>
    <phoneticPr fontId="1"/>
  </si>
  <si>
    <t>紅蓮の魔術</t>
    <phoneticPr fontId="1"/>
  </si>
  <si>
    <t>デュアルウィッチ・レミラミ</t>
    <phoneticPr fontId="1"/>
  </si>
  <si>
    <t>シャドウウィッチ</t>
    <phoneticPr fontId="1"/>
  </si>
  <si>
    <t>氷像の召喚</t>
    <phoneticPr fontId="1"/>
  </si>
  <si>
    <t>連続実験</t>
    <phoneticPr fontId="1"/>
  </si>
  <si>
    <t>古き魔術師・レヴィ</t>
    <phoneticPr fontId="1"/>
  </si>
  <si>
    <t>白霜の風</t>
    <phoneticPr fontId="1"/>
  </si>
  <si>
    <t>破砕の禁呪</t>
    <phoneticPr fontId="1"/>
  </si>
  <si>
    <t>太陽の巫女・パメラ</t>
    <phoneticPr fontId="1"/>
  </si>
  <si>
    <t>ムシュフシュ</t>
    <phoneticPr fontId="1"/>
  </si>
  <si>
    <t>荒牙の竜少女</t>
    <phoneticPr fontId="1"/>
  </si>
  <si>
    <t>オルカ</t>
    <phoneticPr fontId="1"/>
  </si>
  <si>
    <t>鉄鱗の竜人</t>
    <phoneticPr fontId="1"/>
  </si>
  <si>
    <t>クイーンサーペント</t>
    <phoneticPr fontId="1"/>
  </si>
  <si>
    <t>アイランドホエール</t>
    <phoneticPr fontId="1"/>
  </si>
  <si>
    <t>竜の知恵</t>
    <phoneticPr fontId="1"/>
  </si>
  <si>
    <t>ジークフリート</t>
    <phoneticPr fontId="1"/>
  </si>
  <si>
    <t>ノクシャスロアードラゴン</t>
    <phoneticPr fontId="1"/>
  </si>
  <si>
    <t>変異の巨竜</t>
    <phoneticPr fontId="1"/>
  </si>
  <si>
    <t>ドラゴニュートフィスト</t>
    <phoneticPr fontId="1"/>
  </si>
  <si>
    <t>ネプチューン</t>
    <phoneticPr fontId="1"/>
  </si>
  <si>
    <t>竜巫女の儀式</t>
    <phoneticPr fontId="1"/>
  </si>
  <si>
    <t>連なる咆哮</t>
    <phoneticPr fontId="1"/>
  </si>
  <si>
    <t>竜呼びの笛</t>
    <phoneticPr fontId="1"/>
  </si>
  <si>
    <t>ヘルフレイムドラゴン</t>
    <phoneticPr fontId="1"/>
  </si>
  <si>
    <t>ダークコンジュラー</t>
    <phoneticPr fontId="1"/>
  </si>
  <si>
    <t>死を追う者</t>
    <phoneticPr fontId="1"/>
  </si>
  <si>
    <t>スパルトイソルジャー</t>
    <phoneticPr fontId="1"/>
  </si>
  <si>
    <t>マリスゴースト</t>
    <phoneticPr fontId="1"/>
  </si>
  <si>
    <t>デストロイヤーズコマンダー</t>
    <phoneticPr fontId="1"/>
  </si>
  <si>
    <t>死の一閃</t>
    <phoneticPr fontId="1"/>
  </si>
  <si>
    <t>ボーンキマイラ</t>
    <phoneticPr fontId="1"/>
  </si>
  <si>
    <t>カローン</t>
    <phoneticPr fontId="1"/>
  </si>
  <si>
    <t>死者の帰還</t>
    <phoneticPr fontId="1"/>
  </si>
  <si>
    <t>アンドラス</t>
    <phoneticPr fontId="1"/>
  </si>
  <si>
    <t>ケリドウェン</t>
    <phoneticPr fontId="1"/>
  </si>
  <si>
    <t>魂の再利用</t>
    <phoneticPr fontId="1"/>
  </si>
  <si>
    <t>死霊の宴</t>
    <phoneticPr fontId="1"/>
  </si>
  <si>
    <t>蝿の王</t>
    <phoneticPr fontId="1"/>
  </si>
  <si>
    <t>絶速の甲虫</t>
    <phoneticPr fontId="1"/>
  </si>
  <si>
    <t>絶死の毒蜂</t>
    <phoneticPr fontId="1"/>
  </si>
  <si>
    <t>絶護の魔蠍</t>
    <phoneticPr fontId="1"/>
  </si>
  <si>
    <t>享楽の悪魔</t>
    <phoneticPr fontId="1"/>
  </si>
  <si>
    <t>サーペントチャーマー</t>
    <phoneticPr fontId="1"/>
  </si>
  <si>
    <t>ソウルミニデビル</t>
    <phoneticPr fontId="1"/>
  </si>
  <si>
    <t>ソウルナビゲーター</t>
    <phoneticPr fontId="1"/>
  </si>
  <si>
    <t>デモンスラル</t>
    <phoneticPr fontId="1"/>
  </si>
  <si>
    <t>鮮血の口付け</t>
    <phoneticPr fontId="1"/>
  </si>
  <si>
    <t>ラビリンスデビル</t>
    <phoneticPr fontId="1"/>
  </si>
  <si>
    <t>ジャガーノート</t>
    <phoneticPr fontId="1"/>
  </si>
  <si>
    <t>貴き血牙</t>
    <phoneticPr fontId="1"/>
  </si>
  <si>
    <t>メドゥーサの魔眼</t>
    <phoneticPr fontId="1"/>
  </si>
  <si>
    <t>吸血姫・ヴァンピィ</t>
    <phoneticPr fontId="1"/>
  </si>
  <si>
    <t>アザゼル</t>
    <phoneticPr fontId="1"/>
  </si>
  <si>
    <t>吸血鬼の古城</t>
    <phoneticPr fontId="1"/>
  </si>
  <si>
    <t>ブラッディ・メアリー</t>
    <phoneticPr fontId="1"/>
  </si>
  <si>
    <t>天界の忠犬</t>
    <phoneticPr fontId="1"/>
  </si>
  <si>
    <t>スカイスピリット</t>
    <phoneticPr fontId="1"/>
  </si>
  <si>
    <t>ホーリーフォックス・グリモー</t>
    <phoneticPr fontId="1"/>
  </si>
  <si>
    <t>翼の王子</t>
    <phoneticPr fontId="1"/>
  </si>
  <si>
    <t>アダマントバード</t>
    <phoneticPr fontId="1"/>
  </si>
  <si>
    <t>僧侶の聖水</t>
    <phoneticPr fontId="1"/>
  </si>
  <si>
    <t>詠唱：神鉄の翼</t>
    <phoneticPr fontId="1"/>
  </si>
  <si>
    <t>スレッジエクソシスト</t>
    <phoneticPr fontId="1"/>
  </si>
  <si>
    <t>レディアンスエンジェル</t>
    <phoneticPr fontId="1"/>
  </si>
  <si>
    <t>詠唱：獣姫の呼び声</t>
    <phoneticPr fontId="1"/>
  </si>
  <si>
    <t>詠唱：禁じられた儀式</t>
    <phoneticPr fontId="1"/>
  </si>
  <si>
    <t>カグヤ</t>
    <phoneticPr fontId="1"/>
  </si>
  <si>
    <t>天空の守護者・ガルラ</t>
    <phoneticPr fontId="1"/>
  </si>
  <si>
    <t>エイラの祈祷</t>
    <phoneticPr fontId="1"/>
  </si>
  <si>
    <t>うたかたの月</t>
    <phoneticPr fontId="1"/>
  </si>
  <si>
    <t>封じられし熾天使</t>
    <phoneticPr fontId="1"/>
  </si>
  <si>
    <t>目覚めし熾天使</t>
    <phoneticPr fontId="1"/>
  </si>
  <si>
    <t>蘇りし熾天使</t>
    <phoneticPr fontId="1"/>
  </si>
  <si>
    <t>栄光のセラフ・ラピス</t>
    <phoneticPr fontId="1"/>
  </si>
  <si>
    <t>セクトール</t>
    <phoneticPr fontId="1"/>
  </si>
  <si>
    <t>ハンサ</t>
    <phoneticPr fontId="1"/>
  </si>
  <si>
    <t>ミニゴブリンメイジ</t>
    <phoneticPr fontId="1"/>
  </si>
  <si>
    <t>御言葉の天使</t>
    <phoneticPr fontId="1"/>
  </si>
  <si>
    <t>戦乙女の槍</t>
    <phoneticPr fontId="1"/>
  </si>
  <si>
    <t>天弓の天使・リリエル</t>
    <phoneticPr fontId="1"/>
  </si>
  <si>
    <t>覇食帝・カイザ</t>
    <phoneticPr fontId="1"/>
  </si>
  <si>
    <t>歴戦の傭兵・フィーナ</t>
    <phoneticPr fontId="1"/>
  </si>
  <si>
    <t>氷獄の呼び声</t>
    <phoneticPr fontId="1"/>
  </si>
  <si>
    <t>アルティメットキャロット</t>
    <phoneticPr fontId="1"/>
  </si>
  <si>
    <t>ウリエル</t>
    <phoneticPr fontId="1"/>
  </si>
  <si>
    <t>ゴブリンブレイカー・ティナ</t>
    <phoneticPr fontId="1"/>
  </si>
  <si>
    <t>ゴブリンスレイヤー・ルシウス</t>
    <phoneticPr fontId="1"/>
  </si>
  <si>
    <t>サハクィエル</t>
    <phoneticPr fontId="1"/>
  </si>
  <si>
    <t>バハムート</t>
    <phoneticPr fontId="1"/>
  </si>
  <si>
    <t>ベビーフェルパー</t>
    <phoneticPr fontId="1"/>
  </si>
  <si>
    <t>フォレストスピリット</t>
    <phoneticPr fontId="1"/>
  </si>
  <si>
    <t>フェアリーナイト</t>
    <phoneticPr fontId="1"/>
  </si>
  <si>
    <t>フォレストギガース</t>
    <phoneticPr fontId="1"/>
  </si>
  <si>
    <t>絡みつく蔦</t>
    <phoneticPr fontId="1"/>
  </si>
  <si>
    <t>クリスタリア・リリィ</t>
    <phoneticPr fontId="1"/>
  </si>
  <si>
    <t>天馬のエルフ</t>
    <phoneticPr fontId="1"/>
  </si>
  <si>
    <t>エルフの王子・レオネル</t>
    <phoneticPr fontId="1"/>
  </si>
  <si>
    <t>剣を樹に</t>
    <phoneticPr fontId="1"/>
  </si>
  <si>
    <t>セルウィンの号令</t>
    <phoneticPr fontId="1"/>
  </si>
  <si>
    <t>宝石のエルフ</t>
    <phoneticPr fontId="1"/>
  </si>
  <si>
    <t>マヘス</t>
    <phoneticPr fontId="1"/>
  </si>
  <si>
    <t>古き森の白狼</t>
    <phoneticPr fontId="1"/>
  </si>
  <si>
    <t>飛翔する狩鳥</t>
    <phoneticPr fontId="1"/>
  </si>
  <si>
    <t>サムライ</t>
    <phoneticPr fontId="1"/>
  </si>
  <si>
    <t>ブリッツランサー</t>
    <phoneticPr fontId="1"/>
  </si>
  <si>
    <t>シーフ</t>
    <phoneticPr fontId="1"/>
  </si>
  <si>
    <t>ソードウィップメイド</t>
    <phoneticPr fontId="1"/>
  </si>
  <si>
    <t>ニンジャアーツ</t>
    <phoneticPr fontId="1"/>
  </si>
  <si>
    <t>サブリーダー・ゲルト</t>
    <phoneticPr fontId="1"/>
  </si>
  <si>
    <t>レヴィオンヴァンガード・ジェノ</t>
    <phoneticPr fontId="1"/>
  </si>
  <si>
    <t>蒼穹の提督・モニカ</t>
    <phoneticPr fontId="1"/>
  </si>
  <si>
    <t>旋風刃</t>
    <phoneticPr fontId="1"/>
  </si>
  <si>
    <t>白銀の騎士・エミリア</t>
    <phoneticPr fontId="1"/>
  </si>
  <si>
    <t>ファングスレイヤー</t>
    <phoneticPr fontId="1"/>
  </si>
  <si>
    <t>天空城</t>
    <phoneticPr fontId="1"/>
  </si>
  <si>
    <t>レヴィオンセイバー・アルベール</t>
    <phoneticPr fontId="1"/>
  </si>
  <si>
    <t>マナリアウィザード・クレイグ</t>
    <phoneticPr fontId="1"/>
  </si>
  <si>
    <t>タイムレスウィッチ</t>
    <phoneticPr fontId="1"/>
  </si>
  <si>
    <t>ゲイザー</t>
    <phoneticPr fontId="1"/>
  </si>
  <si>
    <t>刃の魔術師</t>
    <phoneticPr fontId="1"/>
  </si>
  <si>
    <t>破魔の術式</t>
    <phoneticPr fontId="1"/>
  </si>
  <si>
    <t>ドワーフアルケミスト</t>
    <phoneticPr fontId="1"/>
  </si>
  <si>
    <t>神秘の探求者・クラーク</t>
    <phoneticPr fontId="1"/>
  </si>
  <si>
    <t>ディザスターウィッチ</t>
    <phoneticPr fontId="1"/>
  </si>
  <si>
    <t>ルーンの貫き</t>
    <phoneticPr fontId="1"/>
  </si>
  <si>
    <t>禁忌の研究者</t>
    <phoneticPr fontId="1"/>
  </si>
  <si>
    <t>プリンセスマナリア・アン</t>
    <phoneticPr fontId="1"/>
  </si>
  <si>
    <t>エラスムスの秘儀</t>
    <phoneticPr fontId="1"/>
  </si>
  <si>
    <t>次元の魔女・ドロシー</t>
    <phoneticPr fontId="1"/>
  </si>
  <si>
    <t>ドラゴンテイマー</t>
    <phoneticPr fontId="1"/>
  </si>
  <si>
    <t>煌牙の戦士・キット</t>
    <phoneticPr fontId="1"/>
  </si>
  <si>
    <t>グリフォンナイト</t>
    <phoneticPr fontId="1"/>
  </si>
  <si>
    <t>ワイリーワイバーン</t>
    <phoneticPr fontId="1"/>
  </si>
  <si>
    <t>竜爪の首飾り</t>
    <phoneticPr fontId="1"/>
  </si>
  <si>
    <t>ワイバーンライダー・エイファ</t>
    <phoneticPr fontId="1"/>
  </si>
  <si>
    <t>輝石のドラゴン</t>
    <phoneticPr fontId="1"/>
  </si>
  <si>
    <t>オウルガーディアン</t>
    <phoneticPr fontId="1"/>
  </si>
  <si>
    <t>竜の闘気</t>
    <phoneticPr fontId="1"/>
  </si>
  <si>
    <t>伊達政宗</t>
    <phoneticPr fontId="1"/>
  </si>
  <si>
    <t>マナリアドラコ・グレア</t>
    <phoneticPr fontId="1"/>
  </si>
  <si>
    <t>サラマンダーブレス</t>
    <phoneticPr fontId="1"/>
  </si>
  <si>
    <t>インペリアルドラグーン</t>
    <phoneticPr fontId="1"/>
  </si>
  <si>
    <t>怪犬の墓守</t>
    <phoneticPr fontId="1"/>
  </si>
  <si>
    <t>双翼の警護者</t>
    <phoneticPr fontId="1"/>
  </si>
  <si>
    <t>闇の従者</t>
    <phoneticPr fontId="1"/>
  </si>
  <si>
    <t>海賊ゾンビ</t>
    <phoneticPr fontId="1"/>
  </si>
  <si>
    <t>怨嗟の声</t>
    <phoneticPr fontId="1"/>
  </si>
  <si>
    <t>よろめく不死者</t>
    <phoneticPr fontId="1"/>
  </si>
  <si>
    <t>ネクロアサシン</t>
    <phoneticPr fontId="1"/>
  </si>
  <si>
    <t>冥守の戦士・カムラ</t>
    <phoneticPr fontId="1"/>
  </si>
  <si>
    <t>死霊の手</t>
    <phoneticPr fontId="1"/>
  </si>
  <si>
    <t>シャドウリーパー</t>
    <phoneticPr fontId="1"/>
  </si>
  <si>
    <t>バロール</t>
    <phoneticPr fontId="1"/>
  </si>
  <si>
    <t>冥府神との契約</t>
    <phoneticPr fontId="1"/>
  </si>
  <si>
    <t>ネフティス</t>
    <phoneticPr fontId="1"/>
  </si>
  <si>
    <t>レヴィオンデューク・ユリウス</t>
    <phoneticPr fontId="1"/>
  </si>
  <si>
    <t>人狼の群れ長</t>
    <phoneticPr fontId="1"/>
  </si>
  <si>
    <t>ジュエルデビル・モリアナ</t>
    <phoneticPr fontId="1"/>
  </si>
  <si>
    <t>高慢なる悪魔</t>
    <phoneticPr fontId="1"/>
  </si>
  <si>
    <t>処刑人の斧</t>
    <phoneticPr fontId="1"/>
  </si>
  <si>
    <t>吸血貴・ヴァイト</t>
    <phoneticPr fontId="1"/>
  </si>
  <si>
    <t>千雨の槍使い</t>
    <phoneticPr fontId="1"/>
  </si>
  <si>
    <t>キャタラクトビースト</t>
    <phoneticPr fontId="1"/>
  </si>
  <si>
    <t>群れなす飢餓</t>
    <phoneticPr fontId="1"/>
  </si>
  <si>
    <t>マステマ</t>
    <phoneticPr fontId="1"/>
  </si>
  <si>
    <t>氷剣の戦鬼</t>
    <phoneticPr fontId="1"/>
  </si>
  <si>
    <t>サディスティックナイト</t>
    <phoneticPr fontId="1"/>
  </si>
  <si>
    <t>血餓の女帝</t>
    <phoneticPr fontId="1"/>
  </si>
  <si>
    <t>フロッグクレリック</t>
    <phoneticPr fontId="1"/>
  </si>
  <si>
    <t>マスターレディセージ</t>
    <phoneticPr fontId="1"/>
  </si>
  <si>
    <t>熟達の調教師</t>
    <phoneticPr fontId="1"/>
  </si>
  <si>
    <t>ソウルコレクター</t>
    <phoneticPr fontId="1"/>
  </si>
  <si>
    <t>信仰の具現化</t>
    <phoneticPr fontId="1"/>
  </si>
  <si>
    <t>煌翼の戦士・リノ</t>
    <phoneticPr fontId="1"/>
  </si>
  <si>
    <t>邪悪なる予言者・ダムス</t>
    <phoneticPr fontId="1"/>
  </si>
  <si>
    <t>エンシェントレオスピリット</t>
    <phoneticPr fontId="1"/>
  </si>
  <si>
    <t>ペガサスの結晶像</t>
    <phoneticPr fontId="1"/>
  </si>
  <si>
    <t>ヴァルハラジェネラル</t>
    <phoneticPr fontId="1"/>
  </si>
  <si>
    <t>煌角の戦士・サリッサ</t>
    <phoneticPr fontId="1"/>
  </si>
  <si>
    <t>神魔裁判所</t>
    <phoneticPr fontId="1"/>
  </si>
  <si>
    <t>狂信の偶像</t>
    <phoneticPr fontId="1"/>
  </si>
  <si>
    <t>ワイズマーマン</t>
    <phoneticPr fontId="1"/>
  </si>
  <si>
    <t>オウルキャット</t>
    <phoneticPr fontId="1"/>
  </si>
  <si>
    <t>アックスファイター</t>
    <phoneticPr fontId="1"/>
  </si>
  <si>
    <t>力比べ</t>
    <phoneticPr fontId="1"/>
  </si>
  <si>
    <t>彷徨の詩人・エルタ</t>
    <phoneticPr fontId="1"/>
  </si>
  <si>
    <t>均衡の大梟</t>
    <phoneticPr fontId="1"/>
  </si>
  <si>
    <t>ゴブリンプリンセス</t>
    <phoneticPr fontId="1"/>
  </si>
  <si>
    <t>凍りづけの巨象</t>
    <phoneticPr fontId="1"/>
  </si>
  <si>
    <t>風の軍神・グリームニル</t>
    <phoneticPr fontId="1"/>
  </si>
  <si>
    <t>癒しの奏者・アンリエット</t>
    <phoneticPr fontId="1"/>
  </si>
  <si>
    <t>激震のオーガ</t>
    <phoneticPr fontId="1"/>
  </si>
  <si>
    <t>イスラーフィール</t>
    <phoneticPr fontId="1"/>
  </si>
  <si>
    <t>ゼウス</t>
    <phoneticPr fontId="1"/>
  </si>
  <si>
    <t>ゴブリンキング</t>
    <phoneticPr fontId="1"/>
  </si>
  <si>
    <t>ドリアード</t>
    <phoneticPr fontId="1"/>
  </si>
  <si>
    <t>キュベレー</t>
    <phoneticPr fontId="1"/>
  </si>
  <si>
    <t>ビートルウォーリアー</t>
    <phoneticPr fontId="1"/>
  </si>
  <si>
    <t>蔦の魔弾</t>
    <phoneticPr fontId="1"/>
  </si>
  <si>
    <t>小さな勇士・スクナ</t>
    <phoneticPr fontId="1"/>
  </si>
  <si>
    <t>エルフの執事・ヴィスト</t>
    <phoneticPr fontId="1"/>
  </si>
  <si>
    <t>勇猛なるドワーフ</t>
    <phoneticPr fontId="1"/>
  </si>
  <si>
    <t>人喰いの庭</t>
    <phoneticPr fontId="1"/>
  </si>
  <si>
    <t>ジャングルの守護者</t>
    <phoneticPr fontId="1"/>
  </si>
  <si>
    <t>クリスタリア・エリン</t>
    <phoneticPr fontId="1"/>
  </si>
  <si>
    <t>フェアリーケージ</t>
    <phoneticPr fontId="1"/>
  </si>
  <si>
    <t>エルフクイーン</t>
    <phoneticPr fontId="1"/>
  </si>
  <si>
    <t>深き森の異形</t>
    <phoneticPr fontId="1"/>
  </si>
  <si>
    <t>ネイビーガード・シモーヌ</t>
    <phoneticPr fontId="1"/>
  </si>
  <si>
    <t>旅ガエル</t>
    <phoneticPr fontId="1"/>
  </si>
  <si>
    <t>円卓の騎士・トリスタン</t>
    <phoneticPr fontId="1"/>
  </si>
  <si>
    <t>大掃除</t>
    <phoneticPr fontId="1"/>
  </si>
  <si>
    <t>シャドウアサシン</t>
    <phoneticPr fontId="1"/>
  </si>
  <si>
    <t>ルミナスメイジ</t>
    <phoneticPr fontId="1"/>
  </si>
  <si>
    <t>ジョリー・ロジャー</t>
    <phoneticPr fontId="1"/>
  </si>
  <si>
    <t>ルミナス騎士団の旗印</t>
    <phoneticPr fontId="1"/>
  </si>
  <si>
    <t>キャプテン・リーシャ</t>
    <phoneticPr fontId="1"/>
  </si>
  <si>
    <t>キャプテン・ヴァルフリート</t>
    <phoneticPr fontId="1"/>
  </si>
  <si>
    <t>援護射撃</t>
    <phoneticPr fontId="1"/>
  </si>
  <si>
    <t>円卓の騎士・ガウェイン</t>
    <phoneticPr fontId="1"/>
  </si>
  <si>
    <t>不滅の英雄・ローラン</t>
    <phoneticPr fontId="1"/>
  </si>
  <si>
    <t>不滅の聖剣・デュランダル</t>
    <phoneticPr fontId="1"/>
  </si>
  <si>
    <t>キラキラヒーラー</t>
    <phoneticPr fontId="1"/>
  </si>
  <si>
    <t>夜の魔術師</t>
    <phoneticPr fontId="1"/>
  </si>
  <si>
    <t>天輪のゴーレム</t>
    <phoneticPr fontId="1"/>
  </si>
  <si>
    <t>魔法図書館</t>
    <phoneticPr fontId="1"/>
  </si>
  <si>
    <t>学院の新入生・ルゥ</t>
    <phoneticPr fontId="1"/>
  </si>
  <si>
    <t>幻惑の奇術師</t>
    <phoneticPr fontId="1"/>
  </si>
  <si>
    <t>キマイラ</t>
    <phoneticPr fontId="1"/>
  </si>
  <si>
    <t>魔法剣</t>
    <phoneticPr fontId="1"/>
  </si>
  <si>
    <t>マジカルガール・メルヴィ</t>
    <phoneticPr fontId="1"/>
  </si>
  <si>
    <t>竜識の老魔導士</t>
    <phoneticPr fontId="1"/>
  </si>
  <si>
    <t>変異の雷撃</t>
    <phoneticPr fontId="1"/>
  </si>
  <si>
    <t>魔導の巨兵</t>
    <phoneticPr fontId="1"/>
  </si>
  <si>
    <t>言霊遣い・ジンジャー</t>
    <phoneticPr fontId="1"/>
  </si>
  <si>
    <t>燃えネズミ</t>
    <phoneticPr fontId="1"/>
  </si>
  <si>
    <t>アクアネレイド</t>
    <phoneticPr fontId="1"/>
  </si>
  <si>
    <t>大鎌の竜騎</t>
    <phoneticPr fontId="1"/>
  </si>
  <si>
    <t>ヒッポカムポス</t>
    <phoneticPr fontId="1"/>
  </si>
  <si>
    <t>ドラゴンの卵</t>
    <phoneticPr fontId="1"/>
  </si>
  <si>
    <t>風読みの少年・ゼル</t>
    <phoneticPr fontId="1"/>
  </si>
  <si>
    <t>邪毒の紫竜</t>
    <phoneticPr fontId="1"/>
  </si>
  <si>
    <t>ラースドレイク</t>
    <phoneticPr fontId="1"/>
  </si>
  <si>
    <t>ライトニングブラスト</t>
    <phoneticPr fontId="1"/>
  </si>
  <si>
    <t>ラハブ</t>
    <phoneticPr fontId="1"/>
  </si>
  <si>
    <t>不死鳥の乗り手・アイナ</t>
    <phoneticPr fontId="1"/>
  </si>
  <si>
    <t>竜殺しの代償</t>
    <phoneticPr fontId="1"/>
  </si>
  <si>
    <t>水竜神の巫女</t>
    <phoneticPr fontId="1"/>
  </si>
  <si>
    <t>ウロボロス</t>
    <phoneticPr fontId="1"/>
  </si>
  <si>
    <t>死月の使徒</t>
    <phoneticPr fontId="1"/>
  </si>
  <si>
    <t>ゴブリンゾンビ</t>
    <phoneticPr fontId="1"/>
  </si>
  <si>
    <t>漆黒の鎌使い</t>
    <phoneticPr fontId="1"/>
  </si>
  <si>
    <t>ゾンビパーティ</t>
    <phoneticPr fontId="1"/>
  </si>
  <si>
    <t>骨の貴公子</t>
    <phoneticPr fontId="1"/>
  </si>
  <si>
    <t>オルトロス</t>
    <phoneticPr fontId="1"/>
  </si>
  <si>
    <t>忌刃の戦士</t>
    <phoneticPr fontId="1"/>
  </si>
  <si>
    <t>冒涜の墓場</t>
    <phoneticPr fontId="1"/>
  </si>
  <si>
    <t>破魂の少女</t>
    <phoneticPr fontId="1"/>
  </si>
  <si>
    <t>不死の大王</t>
    <phoneticPr fontId="1"/>
  </si>
  <si>
    <t>死神の手帳</t>
    <phoneticPr fontId="1"/>
  </si>
  <si>
    <t>魂の番人・ミント</t>
    <phoneticPr fontId="1"/>
  </si>
  <si>
    <t>魔将軍・ヘクター</t>
    <phoneticPr fontId="1"/>
  </si>
  <si>
    <t>糸蜘蛛の悪魔</t>
    <phoneticPr fontId="1"/>
  </si>
  <si>
    <t>フロッグバット</t>
    <phoneticPr fontId="1"/>
  </si>
  <si>
    <t>人狼の突撃兵</t>
    <phoneticPr fontId="1"/>
  </si>
  <si>
    <t>生命奪取</t>
    <phoneticPr fontId="1"/>
  </si>
  <si>
    <t>バフォメット</t>
    <phoneticPr fontId="1"/>
  </si>
  <si>
    <t>ヴラド・ドラキュラ</t>
    <phoneticPr fontId="1"/>
  </si>
  <si>
    <t>カオスシップ</t>
    <phoneticPr fontId="1"/>
  </si>
  <si>
    <t>黒死の仮面</t>
    <phoneticPr fontId="1"/>
  </si>
  <si>
    <t>愛の悪魔・ガレット</t>
    <phoneticPr fontId="1"/>
  </si>
  <si>
    <t>ソウルドミネーター</t>
    <phoneticPr fontId="1"/>
  </si>
  <si>
    <t>ブラッドムーン</t>
    <phoneticPr fontId="1"/>
  </si>
  <si>
    <t>ベルフェゴール</t>
    <phoneticPr fontId="1"/>
  </si>
  <si>
    <t>メイルストロームサーペント</t>
    <phoneticPr fontId="1"/>
  </si>
  <si>
    <t>ミストシャーマン</t>
    <phoneticPr fontId="1"/>
  </si>
  <si>
    <t>清浄の治療師</t>
    <phoneticPr fontId="1"/>
  </si>
  <si>
    <t>オクトパスビショップ</t>
    <phoneticPr fontId="1"/>
  </si>
  <si>
    <t>祈りの燭台</t>
    <phoneticPr fontId="1"/>
  </si>
  <si>
    <t>聖なる弓使い・クルト</t>
    <phoneticPr fontId="1"/>
  </si>
  <si>
    <t>黄金都市の墓守・ソニア</t>
    <phoneticPr fontId="1"/>
  </si>
  <si>
    <t>カリュドーン</t>
    <phoneticPr fontId="1"/>
  </si>
  <si>
    <t>アイアンメイデン</t>
    <phoneticPr fontId="1"/>
  </si>
  <si>
    <t>黄金都市の姫・リテュエル</t>
    <phoneticPr fontId="1"/>
  </si>
  <si>
    <t>苦罰の審判者</t>
    <phoneticPr fontId="1"/>
  </si>
  <si>
    <t>穢れた聖杯</t>
    <phoneticPr fontId="1"/>
  </si>
  <si>
    <t>ダークジャンヌ</t>
    <phoneticPr fontId="1"/>
  </si>
  <si>
    <t>ヘヴンリーイージス</t>
    <phoneticPr fontId="1"/>
  </si>
  <si>
    <t>エンジェルナイト</t>
    <phoneticPr fontId="1"/>
  </si>
  <si>
    <t>ゴブリンリーダー</t>
    <phoneticPr fontId="1"/>
  </si>
  <si>
    <t>ダラダラ天使・エフェメラ</t>
    <phoneticPr fontId="1"/>
  </si>
  <si>
    <t>卵の大爆発</t>
    <phoneticPr fontId="1"/>
  </si>
  <si>
    <t>歌劇姫・フェリア</t>
    <phoneticPr fontId="1"/>
  </si>
  <si>
    <t>屈強な山岳隊長</t>
    <phoneticPr fontId="1"/>
  </si>
  <si>
    <t>獅子の豪傑</t>
    <phoneticPr fontId="1"/>
  </si>
  <si>
    <t>鏡の世界</t>
    <phoneticPr fontId="1"/>
  </si>
  <si>
    <t>ラプンツェル</t>
    <phoneticPr fontId="1"/>
  </si>
  <si>
    <t>白猫の賢者・スノウ</t>
    <phoneticPr fontId="1"/>
  </si>
  <si>
    <t>ヘクトル</t>
    <phoneticPr fontId="1"/>
  </si>
  <si>
    <t>不思議の探求者・アリス</t>
    <phoneticPr fontId="1"/>
  </si>
  <si>
    <t>魔海の女王</t>
    <phoneticPr fontId="1"/>
  </si>
  <si>
    <t>クラブソルジャー</t>
    <phoneticPr fontId="1"/>
  </si>
  <si>
    <t>ハートガーディアン</t>
    <phoneticPr fontId="1"/>
  </si>
  <si>
    <t>スペードレイダー</t>
    <phoneticPr fontId="1"/>
  </si>
  <si>
    <t>ブリキの兵隊</t>
    <phoneticPr fontId="1"/>
  </si>
  <si>
    <t>ティートル・ディ＆ダム</t>
    <phoneticPr fontId="1"/>
  </si>
  <si>
    <t>心優しき木人</t>
    <phoneticPr fontId="1"/>
  </si>
  <si>
    <t>フラワープリンセス</t>
    <phoneticPr fontId="1"/>
  </si>
  <si>
    <t>森の音楽隊</t>
    <phoneticPr fontId="1"/>
  </si>
  <si>
    <t>アックスガール・アビー</t>
    <phoneticPr fontId="1"/>
  </si>
  <si>
    <t>雪原の戦士</t>
    <phoneticPr fontId="1"/>
  </si>
  <si>
    <t>長老の樹</t>
    <phoneticPr fontId="1"/>
  </si>
  <si>
    <t>茨の森</t>
    <phoneticPr fontId="1"/>
  </si>
  <si>
    <t>大魔法の妖精・リラ</t>
    <phoneticPr fontId="1"/>
  </si>
  <si>
    <t>妖精の使役者</t>
    <phoneticPr fontId="1"/>
  </si>
  <si>
    <t>エルフの双撃</t>
    <phoneticPr fontId="1"/>
  </si>
  <si>
    <t>フェアリードラゴン</t>
    <phoneticPr fontId="1"/>
  </si>
  <si>
    <t>ビューティ＆ビースト</t>
    <phoneticPr fontId="1"/>
  </si>
  <si>
    <t>兎耳の従者</t>
    <phoneticPr fontId="1"/>
  </si>
  <si>
    <t>マスタークノイチ</t>
    <phoneticPr fontId="1"/>
  </si>
  <si>
    <t>アックスデストロイヤー</t>
    <phoneticPr fontId="1"/>
  </si>
  <si>
    <t>プリンセスキス</t>
    <phoneticPr fontId="1"/>
  </si>
  <si>
    <t>刃ネズミ</t>
    <phoneticPr fontId="1"/>
  </si>
  <si>
    <t>若き鬼狩人・モモ</t>
    <phoneticPr fontId="1"/>
  </si>
  <si>
    <t>お爺さんとお婆さん</t>
    <phoneticPr fontId="1"/>
  </si>
  <si>
    <t>火遁の術</t>
    <phoneticPr fontId="1"/>
  </si>
  <si>
    <t>赤ずきん・メイジー</t>
    <phoneticPr fontId="1"/>
  </si>
  <si>
    <t>銀嶺の秘剣士</t>
    <phoneticPr fontId="1"/>
  </si>
  <si>
    <t>トランプナイト招集</t>
    <phoneticPr fontId="1"/>
  </si>
  <si>
    <t>シンデレラ</t>
    <phoneticPr fontId="1"/>
  </si>
  <si>
    <t>古の英雄</t>
    <phoneticPr fontId="1"/>
  </si>
  <si>
    <t>スイーツウィッチ</t>
    <phoneticPr fontId="1"/>
  </si>
  <si>
    <t>マナリアカーバンクル</t>
    <phoneticPr fontId="1"/>
  </si>
  <si>
    <t>見習い魔法剣士</t>
    <phoneticPr fontId="1"/>
  </si>
  <si>
    <t>魔女の大釜</t>
    <phoneticPr fontId="1"/>
  </si>
  <si>
    <t>マナリアグリモワール</t>
    <phoneticPr fontId="1"/>
  </si>
  <si>
    <t>幻影使い</t>
    <phoneticPr fontId="1"/>
  </si>
  <si>
    <t>闇魔法の教師・ハインライン</t>
    <phoneticPr fontId="1"/>
  </si>
  <si>
    <t>お菓子の家</t>
    <phoneticPr fontId="1"/>
  </si>
  <si>
    <t>ルナルの魔術師・プリス</t>
    <phoneticPr fontId="1"/>
  </si>
  <si>
    <t>偉大なる魔術師・レヴィ</t>
    <phoneticPr fontId="1"/>
  </si>
  <si>
    <t>ゴーレムアサルト</t>
    <phoneticPr fontId="1"/>
  </si>
  <si>
    <t>呼び覚まされし禁忌</t>
    <phoneticPr fontId="1"/>
  </si>
  <si>
    <t>オズの大魔女</t>
    <phoneticPr fontId="1"/>
  </si>
  <si>
    <t>ドラゴサモナー</t>
    <phoneticPr fontId="1"/>
  </si>
  <si>
    <t>大亀の長老</t>
    <phoneticPr fontId="1"/>
  </si>
  <si>
    <t>漆黒の獣戦士</t>
    <phoneticPr fontId="1"/>
  </si>
  <si>
    <t>竜の石像</t>
    <phoneticPr fontId="1"/>
  </si>
  <si>
    <t>竜技の達人</t>
    <phoneticPr fontId="1"/>
  </si>
  <si>
    <t>ヒッポグリフの乗り手</t>
    <phoneticPr fontId="1"/>
  </si>
  <si>
    <t>フォートレスキャンサー</t>
    <phoneticPr fontId="1"/>
  </si>
  <si>
    <t>ドラゴニックランス</t>
    <phoneticPr fontId="1"/>
  </si>
  <si>
    <t>戯曲の竜剣士</t>
    <phoneticPr fontId="1"/>
  </si>
  <si>
    <t>赤き猛竜</t>
    <phoneticPr fontId="1"/>
  </si>
  <si>
    <t>無謀なる戦</t>
    <phoneticPr fontId="1"/>
  </si>
  <si>
    <t>ジャバウォック</t>
    <phoneticPr fontId="1"/>
  </si>
  <si>
    <t>天窮の竜神</t>
    <phoneticPr fontId="1"/>
  </si>
  <si>
    <t>デーモンイーター</t>
    <phoneticPr fontId="1"/>
  </si>
  <si>
    <t>スケルトンオーガ</t>
    <phoneticPr fontId="1"/>
  </si>
  <si>
    <t>マッドハッター</t>
    <phoneticPr fontId="1"/>
  </si>
  <si>
    <t>幽霊屋敷</t>
    <phoneticPr fontId="1"/>
  </si>
  <si>
    <t>冥河の導き手</t>
    <phoneticPr fontId="1"/>
  </si>
  <si>
    <t>悪夢の処刑人</t>
    <phoneticPr fontId="1"/>
  </si>
  <si>
    <t>謎かけの芋虫</t>
    <phoneticPr fontId="1"/>
  </si>
  <si>
    <t>セイレーンの涙</t>
    <phoneticPr fontId="1"/>
  </si>
  <si>
    <t>ジェド・マロース</t>
    <phoneticPr fontId="1"/>
  </si>
  <si>
    <t>ブラックスワン・オディール</t>
    <phoneticPr fontId="1"/>
  </si>
  <si>
    <t>再生の毒林檎</t>
    <phoneticPr fontId="1"/>
  </si>
  <si>
    <t>災厄の屍王</t>
    <phoneticPr fontId="1"/>
  </si>
  <si>
    <t>ダークアリス</t>
    <phoneticPr fontId="1"/>
  </si>
  <si>
    <t>トーヴ</t>
    <phoneticPr fontId="1"/>
  </si>
  <si>
    <t>ひねくれ者の悪魔</t>
    <phoneticPr fontId="1"/>
  </si>
  <si>
    <t>豪拳の用心棒</t>
    <phoneticPr fontId="1"/>
  </si>
  <si>
    <t>悪魔の鍵</t>
    <phoneticPr fontId="1"/>
  </si>
  <si>
    <t>狼少年</t>
    <phoneticPr fontId="1"/>
  </si>
  <si>
    <t>緋色の剣士</t>
    <phoneticPr fontId="1"/>
  </si>
  <si>
    <t>バンダースナッチ</t>
    <phoneticPr fontId="1"/>
  </si>
  <si>
    <t>変装の牙</t>
    <phoneticPr fontId="1"/>
  </si>
  <si>
    <t>ファントムキャット</t>
    <phoneticPr fontId="1"/>
  </si>
  <si>
    <t>デモンオフィサー・エメラダ</t>
    <phoneticPr fontId="1"/>
  </si>
  <si>
    <t>致命の刃</t>
    <phoneticPr fontId="1"/>
  </si>
  <si>
    <t>邪悪なる妖精・カラボス</t>
    <phoneticPr fontId="1"/>
  </si>
  <si>
    <t>昏き底より出でる者</t>
    <phoneticPr fontId="1"/>
  </si>
  <si>
    <t>ホワイトタイガー</t>
    <phoneticPr fontId="1"/>
  </si>
  <si>
    <t>鳥飼いの使徒</t>
    <phoneticPr fontId="1"/>
  </si>
  <si>
    <t>清浄の僧侶</t>
    <phoneticPr fontId="1"/>
  </si>
  <si>
    <t>粛清の聖堂</t>
    <phoneticPr fontId="1"/>
  </si>
  <si>
    <t>天狐</t>
    <phoneticPr fontId="1"/>
  </si>
  <si>
    <t>イーグルマン</t>
    <phoneticPr fontId="1"/>
  </si>
  <si>
    <t>ハティ</t>
    <phoneticPr fontId="1"/>
  </si>
  <si>
    <t>三月ウサギのお茶会</t>
    <phoneticPr fontId="1"/>
  </si>
  <si>
    <t>赤枝の聖騎士・ノイシュ</t>
    <phoneticPr fontId="1"/>
  </si>
  <si>
    <t>ホワイトスワン・オデット</t>
    <phoneticPr fontId="1"/>
  </si>
  <si>
    <t>アリスの冒険</t>
    <phoneticPr fontId="1"/>
  </si>
  <si>
    <t>スノーホワイトプリンセス</t>
    <phoneticPr fontId="1"/>
  </si>
  <si>
    <t>黄金郷の獅子</t>
    <phoneticPr fontId="1"/>
  </si>
  <si>
    <t>メドリングエンジェル</t>
    <phoneticPr fontId="1"/>
  </si>
  <si>
    <t>グラスソルジャー</t>
    <phoneticPr fontId="1"/>
  </si>
  <si>
    <t>天よりの剣閃</t>
    <phoneticPr fontId="1"/>
  </si>
  <si>
    <t>漆黒の使徒</t>
    <phoneticPr fontId="1"/>
  </si>
  <si>
    <t>旅の調達</t>
    <phoneticPr fontId="1"/>
  </si>
  <si>
    <t>暗黒の御使い</t>
    <phoneticPr fontId="1"/>
  </si>
  <si>
    <t>真相究明</t>
    <phoneticPr fontId="1"/>
  </si>
  <si>
    <t>穢れし天兵</t>
    <phoneticPr fontId="1"/>
  </si>
  <si>
    <t>コンパッションドミニオン</t>
    <phoneticPr fontId="1"/>
  </si>
  <si>
    <t>デミゴッド・ギルガメッシュ</t>
    <phoneticPr fontId="1"/>
  </si>
  <si>
    <t>アフェクションドミニオン</t>
    <phoneticPr fontId="1"/>
  </si>
  <si>
    <t>堕天使</t>
    <phoneticPr fontId="1"/>
  </si>
  <si>
    <t>従順な駿馬</t>
    <phoneticPr fontId="1"/>
  </si>
  <si>
    <t>眺望のエルフ</t>
    <phoneticPr fontId="1"/>
  </si>
  <si>
    <t>キューティーキャット</t>
    <phoneticPr fontId="1"/>
  </si>
  <si>
    <t>ワイズベア</t>
    <phoneticPr fontId="1"/>
  </si>
  <si>
    <t>森への郷愁</t>
    <phoneticPr fontId="1"/>
  </si>
  <si>
    <t>森緑のエレメンタラー</t>
    <phoneticPr fontId="1"/>
  </si>
  <si>
    <t>ゴールデンインセクト</t>
    <phoneticPr fontId="1"/>
  </si>
  <si>
    <t>繁栄の撒き手</t>
    <phoneticPr fontId="1"/>
  </si>
  <si>
    <t>エレガンスシルフィード</t>
    <phoneticPr fontId="1"/>
  </si>
  <si>
    <t>アローレイン</t>
    <phoneticPr fontId="1"/>
  </si>
  <si>
    <t>フロストエイジプリンセス</t>
    <phoneticPr fontId="1"/>
  </si>
  <si>
    <t>天空妖精・アイリス</t>
    <phoneticPr fontId="1"/>
  </si>
  <si>
    <t>ドゥルガー</t>
    <phoneticPr fontId="1"/>
  </si>
  <si>
    <t>楽園妖精・アイリス</t>
    <phoneticPr fontId="1"/>
  </si>
  <si>
    <t>アローストーム</t>
    <phoneticPr fontId="1"/>
  </si>
  <si>
    <t>フェアリーウィスプ</t>
    <phoneticPr fontId="1"/>
  </si>
  <si>
    <t>ツインフェンサー</t>
    <phoneticPr fontId="1"/>
  </si>
  <si>
    <t>パレスナイト</t>
    <phoneticPr fontId="1"/>
  </si>
  <si>
    <t>日常の記録</t>
    <phoneticPr fontId="1"/>
  </si>
  <si>
    <t>粉砕の勇士</t>
    <phoneticPr fontId="1"/>
  </si>
  <si>
    <t>チーフランサー</t>
    <phoneticPr fontId="1"/>
  </si>
  <si>
    <t>盤上の圧政者</t>
    <phoneticPr fontId="1"/>
  </si>
  <si>
    <t>気高き落涙</t>
    <phoneticPr fontId="1"/>
  </si>
  <si>
    <t>氷結の騎士</t>
    <phoneticPr fontId="1"/>
  </si>
  <si>
    <t>気鋭の一蹴</t>
    <phoneticPr fontId="1"/>
  </si>
  <si>
    <t>イベイジョンマーセナリー</t>
    <phoneticPr fontId="1"/>
  </si>
  <si>
    <t>誅戮の武者</t>
    <phoneticPr fontId="1"/>
  </si>
  <si>
    <t>極彩の美剣士</t>
    <phoneticPr fontId="1"/>
  </si>
  <si>
    <t>漆黒の残光・ロサ</t>
    <phoneticPr fontId="1"/>
  </si>
  <si>
    <t>漆黒の曙光・ロサ</t>
    <phoneticPr fontId="1"/>
  </si>
  <si>
    <t>気鋭の猛蹴</t>
    <phoneticPr fontId="1"/>
  </si>
  <si>
    <t>王城の守衛</t>
    <phoneticPr fontId="1"/>
  </si>
  <si>
    <t>トキシックウィッチ</t>
    <phoneticPr fontId="1"/>
  </si>
  <si>
    <t>アーマードスノーマン</t>
    <phoneticPr fontId="1"/>
  </si>
  <si>
    <t>バッテリー</t>
    <phoneticPr fontId="1"/>
  </si>
  <si>
    <t>切除の魔術師</t>
    <phoneticPr fontId="1"/>
  </si>
  <si>
    <t>マーキュリーウィッチ</t>
    <phoneticPr fontId="1"/>
  </si>
  <si>
    <t>チェックメイト</t>
    <phoneticPr fontId="1"/>
  </si>
  <si>
    <t>支配の魔女</t>
    <phoneticPr fontId="1"/>
  </si>
  <si>
    <t>コールメロディー</t>
    <phoneticPr fontId="1"/>
  </si>
  <si>
    <t>天空の掌握</t>
    <phoneticPr fontId="1"/>
  </si>
  <si>
    <t>永生の大魔女</t>
    <phoneticPr fontId="1"/>
  </si>
  <si>
    <t>エイル</t>
    <phoneticPr fontId="1"/>
  </si>
  <si>
    <t>摂理の隠者・ミデロ</t>
    <phoneticPr fontId="1"/>
  </si>
  <si>
    <t>実装済みトークン</t>
    <rPh sb="0" eb="3">
      <t>ジッソウズ</t>
    </rPh>
    <phoneticPr fontId="1"/>
  </si>
  <si>
    <t>未実装</t>
    <rPh sb="0" eb="3">
      <t>ミジッソウ</t>
    </rPh>
    <phoneticPr fontId="1"/>
  </si>
  <si>
    <t>マジカルポーン</t>
    <phoneticPr fontId="1"/>
  </si>
  <si>
    <t>マジカルリス</t>
    <phoneticPr fontId="1"/>
  </si>
  <si>
    <t>ウィズダムオウル</t>
    <phoneticPr fontId="1"/>
  </si>
  <si>
    <t>マジカルルーク</t>
    <phoneticPr fontId="1"/>
  </si>
  <si>
    <t>チェス</t>
  </si>
  <si>
    <t>スノーナイト</t>
    <phoneticPr fontId="1"/>
  </si>
  <si>
    <t>ワイルドスノーマン</t>
    <phoneticPr fontId="1"/>
  </si>
  <si>
    <t>全天の掌握</t>
    <phoneticPr fontId="1"/>
  </si>
  <si>
    <t>隠されし賢者・ミデロ</t>
    <phoneticPr fontId="1"/>
  </si>
  <si>
    <t>人魚の守護者</t>
    <phoneticPr fontId="1"/>
  </si>
  <si>
    <t>リジッドフィッシュ</t>
    <phoneticPr fontId="1"/>
  </si>
  <si>
    <t>サイレンスドラゴン</t>
    <phoneticPr fontId="1"/>
  </si>
  <si>
    <t>竜の模倣</t>
    <phoneticPr fontId="1"/>
  </si>
  <si>
    <t>リザードハンター</t>
    <phoneticPr fontId="1"/>
  </si>
  <si>
    <t>追憶の白竜</t>
    <phoneticPr fontId="1"/>
  </si>
  <si>
    <t>挑戦の代価</t>
    <phoneticPr fontId="1"/>
  </si>
  <si>
    <t>流麗なる竜人</t>
    <phoneticPr fontId="1"/>
  </si>
  <si>
    <t>ラグジュアリーマーメイド</t>
    <phoneticPr fontId="1"/>
  </si>
  <si>
    <t>竜人の魚釣り</t>
    <phoneticPr fontId="1"/>
  </si>
  <si>
    <t>竜国の王女・イルマ</t>
    <phoneticPr fontId="1"/>
  </si>
  <si>
    <t>苦悶の飢餓竜</t>
    <phoneticPr fontId="1"/>
  </si>
  <si>
    <t>ヴァニティードラゴン</t>
    <phoneticPr fontId="1"/>
  </si>
  <si>
    <t>輝竜の皇女・イルマ</t>
    <phoneticPr fontId="1"/>
  </si>
  <si>
    <t>白鱗のドラゴン</t>
    <phoneticPr fontId="1"/>
  </si>
  <si>
    <t>竜人の大物釣り</t>
    <phoneticPr fontId="1"/>
  </si>
  <si>
    <t>屍の討滅者</t>
    <phoneticPr fontId="1"/>
  </si>
  <si>
    <t>ネメアの獅子</t>
    <phoneticPr fontId="1"/>
  </si>
  <si>
    <t>ペインフルソウル</t>
    <phoneticPr fontId="1"/>
  </si>
  <si>
    <t>魂の具現化</t>
    <phoneticPr fontId="1"/>
  </si>
  <si>
    <t>死門の開通</t>
    <phoneticPr fontId="1"/>
  </si>
  <si>
    <t>蘇りし邪悪</t>
    <phoneticPr fontId="1"/>
  </si>
  <si>
    <t>カースドキング</t>
    <phoneticPr fontId="1"/>
  </si>
  <si>
    <t>悪辣の残滓</t>
    <phoneticPr fontId="1"/>
  </si>
  <si>
    <t>アンデッドスレイヤー</t>
    <phoneticPr fontId="1"/>
  </si>
  <si>
    <t>ソウルライト</t>
    <phoneticPr fontId="1"/>
  </si>
  <si>
    <t>万死の否定者</t>
    <phoneticPr fontId="1"/>
  </si>
  <si>
    <t>アビスアベンジャー・ヴィスカリア</t>
    <phoneticPr fontId="1"/>
  </si>
  <si>
    <t>狂恋のネクロマンサー</t>
    <phoneticPr fontId="1"/>
  </si>
  <si>
    <t>全死の裁定者</t>
    <phoneticPr fontId="1"/>
  </si>
  <si>
    <t>ハートブライト</t>
    <phoneticPr fontId="1"/>
  </si>
  <si>
    <t>鍵盤の悪鬼</t>
    <phoneticPr fontId="1"/>
  </si>
  <si>
    <t>イビルコレクター</t>
    <phoneticPr fontId="1"/>
  </si>
  <si>
    <t>開眼の魔人</t>
    <phoneticPr fontId="1"/>
  </si>
  <si>
    <t>本能の乱撃</t>
    <phoneticPr fontId="1"/>
  </si>
  <si>
    <t>冒険者のギルド</t>
    <phoneticPr fontId="1"/>
  </si>
  <si>
    <t>SelectClass</t>
    <phoneticPr fontId="1"/>
  </si>
  <si>
    <t>イクシードアーティファクトΩ</t>
  </si>
  <si>
    <t>デストロイアーティファクトγ</t>
  </si>
  <si>
    <t>デストロイアーティファクトβ</t>
  </si>
  <si>
    <t>デストロイアーティファクトα</t>
  </si>
  <si>
    <t>キャッスルアーティファクト</t>
  </si>
  <si>
    <t>アタックアーティファクト</t>
  </si>
  <si>
    <t>パスト・コア</t>
  </si>
  <si>
    <t>フューチャー・コア</t>
  </si>
  <si>
    <t>改良型・操り人形</t>
  </si>
  <si>
    <t>操り人形</t>
  </si>
  <si>
    <t>ドールズシアター</t>
    <phoneticPr fontId="1"/>
  </si>
  <si>
    <t>IllustID</t>
    <phoneticPr fontId="1"/>
  </si>
  <si>
    <t>ID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</si>
</sst>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000"/>
    <numFmt numFmtId="177" formatCode="000000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0"/>
      <name val="Yu Gothic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/>
    <xf numFmtId="17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77" fontId="0" fillId="4" borderId="1" xfId="0" applyNumberFormat="1" applyFill="1" applyBorder="1"/>
    <xf numFmtId="0" fontId="0" fillId="4" borderId="1" xfId="0" applyFill="1" applyBorder="1"/>
    <xf numFmtId="0" fontId="0" fillId="2" borderId="1" xfId="0" applyFill="1" applyBorder="1"/>
    <xf numFmtId="177" fontId="0" fillId="0" borderId="1" xfId="0" applyNumberFormat="1" applyBorder="1"/>
    <xf numFmtId="0" fontId="0" fillId="0" borderId="3" xfId="0" applyBorder="1"/>
    <xf numFmtId="0" fontId="0" fillId="2" borderId="3" xfId="0" applyFill="1" applyBorder="1"/>
    <xf numFmtId="0" fontId="0" fillId="0" borderId="4" xfId="0" applyBorder="1"/>
    <xf numFmtId="0" fontId="0" fillId="4" borderId="4" xfId="0" applyFill="1" applyBorder="1"/>
    <xf numFmtId="0" fontId="0" fillId="4" borderId="2" xfId="0" applyFill="1" applyBorder="1"/>
    <xf numFmtId="177" fontId="0" fillId="4" borderId="5" xfId="0" applyNumberFormat="1" applyFill="1" applyBorder="1"/>
    <xf numFmtId="177" fontId="0" fillId="0" borderId="5" xfId="0" applyNumberFormat="1" applyBorder="1"/>
    <xf numFmtId="0" fontId="0" fillId="2" borderId="2" xfId="0" applyFill="1" applyBorder="1"/>
    <xf numFmtId="176" fontId="2" fillId="3" borderId="6" xfId="0" applyNumberFormat="1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0" fillId="4" borderId="3" xfId="0" applyFill="1" applyBorder="1"/>
    <xf numFmtId="0" fontId="0" fillId="2" borderId="10" xfId="0" applyFill="1" applyBorder="1"/>
    <xf numFmtId="177" fontId="0" fillId="0" borderId="9" xfId="0" applyNumberFormat="1" applyBorder="1"/>
    <xf numFmtId="177" fontId="0" fillId="4" borderId="9" xfId="0" applyNumberFormat="1" applyFill="1" applyBorder="1"/>
    <xf numFmtId="177" fontId="0" fillId="0" borderId="5" xfId="0" applyNumberFormat="1" applyFill="1" applyBorder="1"/>
    <xf numFmtId="0" fontId="0" fillId="0" borderId="1" xfId="0" applyFill="1" applyBorder="1"/>
    <xf numFmtId="0" fontId="0" fillId="0" borderId="2" xfId="0" applyFill="1" applyBorder="1"/>
    <xf numFmtId="0" fontId="0" fillId="0" borderId="4" xfId="0" applyFill="1" applyBorder="1"/>
    <xf numFmtId="177" fontId="0" fillId="0" borderId="9" xfId="0" applyNumberFormat="1" applyFill="1" applyBorder="1"/>
    <xf numFmtId="0" fontId="0" fillId="0" borderId="3" xfId="0" applyFill="1" applyBorder="1"/>
  </cellXfs>
  <cellStyles count="1">
    <cellStyle name="標準" xfId="0" builtinId="0"/>
  </cellStyles>
  <dxfs count="43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theme="0" tint="-0.14999847407452621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FFD1D1"/>
      <color rgb="FFE6D5F3"/>
      <color rgb="FFFDE3E3"/>
      <color rgb="FFE2DAF2"/>
      <color rgb="FFFCD4D4"/>
      <color rgb="FFE8D9F3"/>
      <color rgb="FFEBD8BB"/>
      <color rgb="FFE2A700"/>
      <color rgb="FFFCFCF2"/>
      <color rgb="FFFFFF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DC97DF-0AA3-4BB1-96AF-88EFE2B540E7}" name="テーブル1" displayName="テーブル1" ref="A1:O77" totalsRowShown="0" headerRowDxfId="412" dataDxfId="410" headerRowBorderDxfId="411" tableBorderDxfId="409" totalsRowBorderDxfId="408">
  <autoFilter ref="A1:O77" xr:uid="{7EDC97DF-0AA3-4BB1-96AF-88EFE2B540E7}"/>
  <tableColumns count="15">
    <tableColumn id="1" xr3:uid="{C260B664-D273-4F66-A57E-E2419204C66F}" name="ID" dataDxfId="407"/>
    <tableColumn id="2" xr3:uid="{96B78810-3675-4441-BEE7-68B046B91375}" name="SelectClass" dataDxfId="406"/>
    <tableColumn id="3" xr3:uid="{5FBC4242-3953-49B2-A9FC-239A6A020E69}" name="Class" dataDxfId="405">
      <calculatedColumnFormula>VLOOKUP(B2,Select!A:H,8,FALSE)</calculatedColumnFormula>
    </tableColumn>
    <tableColumn id="4" xr3:uid="{C4274AFB-6DD1-4DA2-A459-A1B0B35BF055}" name="SelectRarity" dataDxfId="404"/>
    <tableColumn id="5" xr3:uid="{0D7FA12F-49CF-450A-A4F6-E904FDAD155F}" name="Rarity" dataDxfId="403">
      <calculatedColumnFormula>VLOOKUP(D2,Select!B:H,7,FALSE)</calculatedColumnFormula>
    </tableColumn>
    <tableColumn id="6" xr3:uid="{CADC56C2-A2D8-4BE8-96A2-C49D09763EF8}" name="SelectType" dataDxfId="402"/>
    <tableColumn id="7" xr3:uid="{FAA47058-EF4E-4D1D-B0A3-8D77ECDDE0B4}" name="Type" dataDxfId="401">
      <calculatedColumnFormula>VLOOKUP(F2,Select!C:H,6,FALSE)</calculatedColumnFormula>
    </tableColumn>
    <tableColumn id="8" xr3:uid="{4BE9DA67-2AC0-44A7-ABE5-CA155FDA29E5}" name="Name" dataDxfId="400"/>
    <tableColumn id="9" xr3:uid="{9ECDCE07-BC2F-4046-B1DA-5E054B8620EA}" name="Cost" dataDxfId="399"/>
    <tableColumn id="10" xr3:uid="{282F6825-DAB9-4CDB-A404-23EFCC5DB286}" name="Attack" dataDxfId="398"/>
    <tableColumn id="11" xr3:uid="{DC7EB963-0A2A-4021-8AF5-081797BEE2CF}" name="Defence" dataDxfId="397"/>
    <tableColumn id="12" xr3:uid="{0DCD8F85-5FAB-4D47-AC63-490B548B3EC9}" name="IllustID" dataDxfId="396"/>
    <tableColumn id="14" xr3:uid="{25328ACD-FEE8-43BA-84D8-FB91ED9BCC38}" name="Token" dataDxfId="395"/>
    <tableColumn id="15" xr3:uid="{1962F7D5-036E-49CC-B7FE-FC58AE9139A0}" name="SelectTrait" dataDxfId="394"/>
    <tableColumn id="16" xr3:uid="{95E5C2F8-1ADC-4A6F-A631-AEB4315E39BD}" name="Trait[]" dataDxfId="393">
      <calculatedColumnFormula>VLOOKUP(N2,Select!D:H,5,FALSE)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8DA380-9B6F-4E92-B21E-D1F25DE28344}" name="テーブル4" displayName="テーブル4" ref="A1:O166" totalsRowShown="0" headerRowDxfId="375" headerRowBorderDxfId="374" tableBorderDxfId="373" totalsRowBorderDxfId="372">
  <autoFilter ref="A1:O166" xr:uid="{9D8DA380-9B6F-4E92-B21E-D1F25DE28344}"/>
  <tableColumns count="15">
    <tableColumn id="1" xr3:uid="{F3EBDA31-94CE-4E5D-A2B7-204D205AA53B}" name="ID" dataDxfId="371"/>
    <tableColumn id="2" xr3:uid="{ACA4540B-0704-418C-92E6-0BC76BFFFC9F}" name="SelectClass" dataDxfId="370"/>
    <tableColumn id="3" xr3:uid="{74B50B78-8099-4371-895E-A8A015C90E9D}" name="Class" dataDxfId="369">
      <calculatedColumnFormula>VLOOKUP(B2,Select!A:H,8,FALSE)</calculatedColumnFormula>
    </tableColumn>
    <tableColumn id="4" xr3:uid="{C0BF3DCB-CDC4-48D5-ACEC-45B5C9CC3D6C}" name="SelectRarity" dataDxfId="368"/>
    <tableColumn id="5" xr3:uid="{13B9808F-1F9B-4765-917D-A62E0E01C0F5}" name="Rarity" dataDxfId="367">
      <calculatedColumnFormula>VLOOKUP(D2,Select!B:H,7,FALSE)</calculatedColumnFormula>
    </tableColumn>
    <tableColumn id="6" xr3:uid="{3B45769D-ABA2-4A3C-B9B6-644061E9C136}" name="SelectType" dataDxfId="366"/>
    <tableColumn id="7" xr3:uid="{71AC0906-66ED-4675-8EF9-D21928740903}" name="Type" dataDxfId="365">
      <calculatedColumnFormula>VLOOKUP(F2,Select!C:H,6,FALSE)</calculatedColumnFormula>
    </tableColumn>
    <tableColumn id="8" xr3:uid="{9614B51E-7029-443F-BB1A-E9A1660333B7}" name="Name" dataDxfId="364"/>
    <tableColumn id="9" xr3:uid="{DA98695D-8A52-4694-BBEF-783E8CB7A9F8}" name="Cost" dataDxfId="363"/>
    <tableColumn id="10" xr3:uid="{F0DDA971-8CE1-427B-B5F1-EEC481AFC8B6}" name="Attack" dataDxfId="362"/>
    <tableColumn id="11" xr3:uid="{2D6D4C86-EE52-473F-8590-22E2A71AF9BE}" name="Defence" dataDxfId="361"/>
    <tableColumn id="12" xr3:uid="{2435AFD7-0D5A-4749-9BFD-0FFDF7BD5C02}" name="IllustID" dataDxfId="360"/>
    <tableColumn id="14" xr3:uid="{4495F2EF-5F61-4099-A630-C9FE7D65767A}" name="Token" dataDxfId="359"/>
    <tableColumn id="15" xr3:uid="{FBC80CB5-3ACD-4EFA-9B8F-2D3FCC2D464F}" name="SelectTrait" dataDxfId="358"/>
    <tableColumn id="16" xr3:uid="{8B97D644-AE05-4E92-A600-A04D29F9C4F6}" name="Trait[]" dataDxfId="357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AE31DEE-0755-44F5-BE54-86653093DD8F}" name="テーブル3" displayName="テーブル3" ref="A1:O87" totalsRowShown="0" headerRowDxfId="339" headerRowBorderDxfId="338" tableBorderDxfId="337" totalsRowBorderDxfId="336">
  <autoFilter ref="A1:O87" xr:uid="{DAE31DEE-0755-44F5-BE54-86653093DD8F}"/>
  <tableColumns count="15">
    <tableColumn id="1" xr3:uid="{5B497DF3-583A-4238-8FB9-18CE038C44FC}" name="ID" dataDxfId="335"/>
    <tableColumn id="2" xr3:uid="{A3B444B8-6560-4178-9B28-A6193D5245C3}" name="SelectClass" dataDxfId="334"/>
    <tableColumn id="3" xr3:uid="{44C6CBA0-FBE4-4907-BA12-87CE8CC099AE}" name="Class" dataDxfId="333">
      <calculatedColumnFormula>VLOOKUP(B2,Select!A:H,8,FALSE)</calculatedColumnFormula>
    </tableColumn>
    <tableColumn id="4" xr3:uid="{C01BA7B4-CD3C-4BCF-993B-19528029CFF8}" name="SelectRarity" dataDxfId="332"/>
    <tableColumn id="5" xr3:uid="{C84D14AC-E3F6-4E50-A708-A4A02C2DF8DE}" name="Rarity" dataDxfId="331">
      <calculatedColumnFormula>VLOOKUP(D2,Select!B:H,7,FALSE)</calculatedColumnFormula>
    </tableColumn>
    <tableColumn id="6" xr3:uid="{77232330-817E-4A69-B228-C3D5859753D7}" name="SelectType" dataDxfId="330"/>
    <tableColumn id="7" xr3:uid="{3E960E1D-4654-479B-85E2-3F44C2118134}" name="Type" dataDxfId="329">
      <calculatedColumnFormula>VLOOKUP(F2,Select!C:H,6,FALSE)</calculatedColumnFormula>
    </tableColumn>
    <tableColumn id="8" xr3:uid="{E041AEB2-D265-45C7-996E-1B39B377DAD2}" name="Name" dataDxfId="328"/>
    <tableColumn id="9" xr3:uid="{CBAC40F2-A0C7-4085-8626-1D991A7B81AB}" name="Cost" dataDxfId="327"/>
    <tableColumn id="10" xr3:uid="{81496E2B-8736-441A-97FA-5E79F067D3BD}" name="Attack" dataDxfId="326"/>
    <tableColumn id="11" xr3:uid="{5BBD77F8-B3E9-4CB1-AA3C-618E2D612347}" name="Defence" dataDxfId="325"/>
    <tableColumn id="12" xr3:uid="{96132396-04E0-4A9D-8337-B5F06DC8CEA8}" name="IllustID" dataDxfId="324"/>
    <tableColumn id="14" xr3:uid="{D105A599-4A65-4EFB-BB6F-031F24C277F8}" name="Token" dataDxfId="323"/>
    <tableColumn id="15" xr3:uid="{32C2BE07-1207-41E7-994A-F15D967536D8}" name="SelectTrait" dataDxfId="322"/>
    <tableColumn id="16" xr3:uid="{80082002-9C65-4725-A3AD-433BCDFAB970}" name="Trait[]" dataDxfId="321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427B7D2-D4F6-4770-AD68-36F3F5742AB0}" name="テーブル5" displayName="テーブル5" ref="A1:O94" totalsRowShown="0" headerRowDxfId="303" dataDxfId="301" headerRowBorderDxfId="302" tableBorderDxfId="300" totalsRowBorderDxfId="299">
  <autoFilter ref="A1:O94" xr:uid="{C427B7D2-D4F6-4770-AD68-36F3F5742AB0}"/>
  <tableColumns count="15">
    <tableColumn id="1" xr3:uid="{E766EC27-049D-4693-BBF7-EDF8DB349630}" name="ID" dataDxfId="298"/>
    <tableColumn id="2" xr3:uid="{6FCDAE41-0C95-420A-964D-87980C32E9D8}" name="SelectClass" dataDxfId="297"/>
    <tableColumn id="3" xr3:uid="{B864A444-3957-4AA9-98A5-C0EE15A34A73}" name="Class" dataDxfId="296">
      <calculatedColumnFormula>VLOOKUP(B2,Select!A:H,8,FALSE)</calculatedColumnFormula>
    </tableColumn>
    <tableColumn id="4" xr3:uid="{8BFF64A3-6877-40B9-BC79-86762E81132B}" name="SelectRarity" dataDxfId="295"/>
    <tableColumn id="5" xr3:uid="{9D7F7A97-B922-424E-84CA-50A598F9A163}" name="Rarity" dataDxfId="294">
      <calculatedColumnFormula>VLOOKUP(D2,Select!B:H,7,FALSE)</calculatedColumnFormula>
    </tableColumn>
    <tableColumn id="6" xr3:uid="{A8566066-91A6-4C69-936A-D4DADE19169B}" name="SelectType" dataDxfId="293"/>
    <tableColumn id="7" xr3:uid="{14DDF83D-ADC2-4C8C-B56B-5256C72F8C66}" name="Type" dataDxfId="292">
      <calculatedColumnFormula>VLOOKUP(F2,Select!C:H,6,FALSE)</calculatedColumnFormula>
    </tableColumn>
    <tableColumn id="8" xr3:uid="{F82221F2-015E-4FC6-A24C-4331B4CB28B2}" name="Name" dataDxfId="291"/>
    <tableColumn id="9" xr3:uid="{9DDC4D84-394C-42E3-B2D7-CA2647CFAF1A}" name="Cost" dataDxfId="290"/>
    <tableColumn id="10" xr3:uid="{BEF9A78D-1140-4B69-844F-FB02E015BAFA}" name="Attack" dataDxfId="289"/>
    <tableColumn id="11" xr3:uid="{0A241542-AD6A-4F46-9D79-C4CAC4875A64}" name="Defence" dataDxfId="288"/>
    <tableColumn id="12" xr3:uid="{C1B6043F-8B85-41E7-A7C7-808452D58087}" name="IllustID" dataDxfId="287"/>
    <tableColumn id="13" xr3:uid="{B80188F9-A9E8-4413-B32A-9DE89B3A1FD8}" name="Token" dataDxfId="286"/>
    <tableColumn id="14" xr3:uid="{C137B15B-1098-461B-83F9-FBA64A7C46A9}" name="SelectTrait" dataDxfId="285"/>
    <tableColumn id="15" xr3:uid="{D7B2AF4D-8623-4D01-AF93-C21C102CDF70}" name="Trait[]" dataDxfId="284">
      <calculatedColumnFormula>VLOOKUP(N2,Select!D:H,5,FALSE)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9AF1B6-1DE7-4726-A5FE-C283D2EC3055}" name="テーブル2" displayName="テーブル2" ref="A1:O5" totalsRowShown="0" headerRowDxfId="266" headerRowBorderDxfId="265" tableBorderDxfId="264" totalsRowBorderDxfId="263">
  <autoFilter ref="A1:O5" xr:uid="{C69AF1B6-1DE7-4726-A5FE-C283D2EC3055}"/>
  <tableColumns count="15">
    <tableColumn id="1" xr3:uid="{94AF54F4-5936-4859-8977-4A0AE5553116}" name="ID" dataDxfId="262"/>
    <tableColumn id="2" xr3:uid="{135D355C-09D6-4F39-92AE-9A27E85A4F48}" name="SelectClass" dataDxfId="261"/>
    <tableColumn id="3" xr3:uid="{0E9B434C-14E7-4C18-BD8D-48B3E6720B08}" name="Class" dataDxfId="260">
      <calculatedColumnFormula>VLOOKUP(B2,Select!A:H,8,FALSE)</calculatedColumnFormula>
    </tableColumn>
    <tableColumn id="4" xr3:uid="{7F1E5DA5-EF31-4873-A7F6-B17382F540E7}" name="SelectRarity" dataDxfId="259"/>
    <tableColumn id="5" xr3:uid="{4359893C-B178-42ED-B88F-68DB540E47E0}" name="Rarity" dataDxfId="258">
      <calculatedColumnFormula>VLOOKUP(D2,Select!B:H,7,FALSE)</calculatedColumnFormula>
    </tableColumn>
    <tableColumn id="6" xr3:uid="{C64F176C-33B2-4A22-A46D-19F082D406AE}" name="SelectType" dataDxfId="257"/>
    <tableColumn id="7" xr3:uid="{151A0E36-41C6-4C17-91CD-82C25ECCEDBA}" name="Type" dataDxfId="256">
      <calculatedColumnFormula>VLOOKUP(F2,Select!C:H,6,FALSE)</calculatedColumnFormula>
    </tableColumn>
    <tableColumn id="8" xr3:uid="{5C759D15-AD89-4147-BB8A-CD1AB51F9A00}" name="Name"/>
    <tableColumn id="9" xr3:uid="{E3ED8779-5514-43F7-975C-5AA1A29ADCF1}" name="Cost"/>
    <tableColumn id="10" xr3:uid="{B9E3F897-69EA-478A-8CA2-4BF141634458}" name="Attack"/>
    <tableColumn id="11" xr3:uid="{F8696CB9-D3E6-415E-873E-6AC54B1A996C}" name="Defence"/>
    <tableColumn id="12" xr3:uid="{968DB30F-B55B-4C47-B887-A265977EFFA1}" name="IllustID"/>
    <tableColumn id="13" xr3:uid="{0D4A2DE6-520F-43E9-A549-BFAAF40483FD}" name="Token"/>
    <tableColumn id="14" xr3:uid="{A1722108-8DC8-484E-B405-B515D2315DD8}" name="SelectTrait" dataDxfId="255"/>
    <tableColumn id="15" xr3:uid="{95DAEFF4-73DF-4953-B769-F3A407B31EF6}" name="Trait[]" dataDxfId="254">
      <calculatedColumnFormula>VLOOKUP(N2,Select!D:H,5,FALSE)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D302E97-4590-447E-AE26-834AB8C8AB56}" name="テーブル6" displayName="テーブル6" ref="A1:O113" totalsRowShown="0" headerRowDxfId="236" dataDxfId="234" headerRowBorderDxfId="235" tableBorderDxfId="233">
  <autoFilter ref="A1:O113" xr:uid="{9D302E97-4590-447E-AE26-834AB8C8AB56}"/>
  <tableColumns count="15">
    <tableColumn id="1" xr3:uid="{89235EE0-A22F-43D2-BFD2-544B46CFBCEB}" name="ID" dataDxfId="232"/>
    <tableColumn id="2" xr3:uid="{20F53709-D2B7-49AC-B284-98416F519F7F}" name="SelectClass" dataDxfId="231"/>
    <tableColumn id="3" xr3:uid="{32709DEC-CBD1-45C8-B77C-229EF9667DE9}" name="Class" dataDxfId="230">
      <calculatedColumnFormula>VLOOKUP(B2,Select!A:H,8,FALSE)</calculatedColumnFormula>
    </tableColumn>
    <tableColumn id="4" xr3:uid="{7BD7B2E9-A17C-49B8-A6AB-B540871F5580}" name="SelectRarity" dataDxfId="229"/>
    <tableColumn id="5" xr3:uid="{DC7C1497-7839-4E8D-8218-209A512AEF0E}" name="Rarity" dataDxfId="228">
      <calculatedColumnFormula>VLOOKUP(D2,Select!B:H,7,FALSE)</calculatedColumnFormula>
    </tableColumn>
    <tableColumn id="6" xr3:uid="{9DAED759-6C66-4F9D-A331-26A1BB5D0B53}" name="SelectType" dataDxfId="227"/>
    <tableColumn id="7" xr3:uid="{F80C316B-FC96-4B08-8BFB-823EA6DEA643}" name="Type" dataDxfId="226">
      <calculatedColumnFormula>VLOOKUP(F2,Select!C:H,6,FALSE)</calculatedColumnFormula>
    </tableColumn>
    <tableColumn id="8" xr3:uid="{924D5578-B94F-46C0-9BC4-D7EAAB42616B}" name="Name" dataDxfId="225"/>
    <tableColumn id="9" xr3:uid="{59CE2EC8-7884-4637-A51C-8A8D72F1B538}" name="Cost" dataDxfId="224"/>
    <tableColumn id="10" xr3:uid="{2960FDCB-40A6-4CFC-A2C7-BE3660DE0314}" name="Attack" dataDxfId="223"/>
    <tableColumn id="11" xr3:uid="{908B87BF-BD26-4CA2-BF26-7CC78932B7B7}" name="Defence" dataDxfId="222"/>
    <tableColumn id="12" xr3:uid="{9E84B1D5-8BA9-4EF4-8DD1-35006CFC798B}" name="IllustID" dataDxfId="221"/>
    <tableColumn id="13" xr3:uid="{DF8D4443-FE4A-40E3-B753-B099175C36B7}" name="Token" dataDxfId="220"/>
    <tableColumn id="14" xr3:uid="{6E9FDA13-548F-4DDE-8411-ACDEF201CC5D}" name="SelectTrait" dataDxfId="219"/>
    <tableColumn id="15" xr3:uid="{FA2C36BB-1324-4A41-872A-125E6EE1F50E}" name="Trait[]" dataDxfId="218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C62FEBE-1084-4B3C-BA50-3E50AE310F0A}" name="テーブル7" displayName="テーブル7" ref="A1:O344" totalsRowShown="0" headerRowDxfId="79" dataDxfId="80" headerRowBorderDxfId="97" tableBorderDxfId="98" totalsRowBorderDxfId="96">
  <autoFilter ref="A1:O344" xr:uid="{8C62FEBE-1084-4B3C-BA50-3E50AE310F0A}"/>
  <tableColumns count="15">
    <tableColumn id="1" xr3:uid="{57F317F0-8D37-4535-954F-E1389596406F}" name="ID" dataDxfId="95"/>
    <tableColumn id="2" xr3:uid="{169FE025-28D7-4469-ABAB-035B73EE4A57}" name="SelectClass" dataDxfId="94"/>
    <tableColumn id="3" xr3:uid="{7309F011-E589-4609-BBCC-EDC01634C9C7}" name="Class" dataDxfId="93">
      <calculatedColumnFormula>VLOOKUP(B2,Select!A:H,8,FALSE)</calculatedColumnFormula>
    </tableColumn>
    <tableColumn id="4" xr3:uid="{9D8E2B48-05C2-40B0-B435-15DD764F315F}" name="SelectRarity" dataDxfId="92"/>
    <tableColumn id="5" xr3:uid="{1902A61B-5446-43D1-B1F1-9E5F5D24B892}" name="Rarity" dataDxfId="91">
      <calculatedColumnFormula>VLOOKUP(D2,Select!B:H,7,FALSE)</calculatedColumnFormula>
    </tableColumn>
    <tableColumn id="6" xr3:uid="{E741B755-592E-4B35-9706-7D24336694E2}" name="SelectType" dataDxfId="90"/>
    <tableColumn id="7" xr3:uid="{547CDB82-82EF-4CFA-9122-71F5D0503ACD}" name="Type" dataDxfId="89">
      <calculatedColumnFormula>VLOOKUP(F2,Select!C:H,6,FALSE)</calculatedColumnFormula>
    </tableColumn>
    <tableColumn id="8" xr3:uid="{0BD51606-53AA-4E08-80C9-42F3DF9786AA}" name="Name" dataDxfId="88"/>
    <tableColumn id="9" xr3:uid="{EED4D5D3-60F3-4F64-85CB-E9AAF0B47174}" name="Cost" dataDxfId="87"/>
    <tableColumn id="10" xr3:uid="{B521AAE6-72D2-4043-B5C6-32B00156FD8E}" name="Attack" dataDxfId="86"/>
    <tableColumn id="11" xr3:uid="{52FCDBF6-4AFB-460F-A2C9-8A7979986CE5}" name="Defence" dataDxfId="85"/>
    <tableColumn id="12" xr3:uid="{F4D06803-0F32-43A4-A9C0-0E7D069204D2}" name="IllustID" dataDxfId="84"/>
    <tableColumn id="13" xr3:uid="{3C593E1D-B8A7-405F-8A00-4D73E8EB87D0}" name="Token" dataDxfId="83"/>
    <tableColumn id="14" xr3:uid="{BF47E434-CCDA-4391-95C8-D47EA8102EED}" name="SelectTrait" dataDxfId="82"/>
    <tableColumn id="15" xr3:uid="{374581B2-3602-4A75-859D-BC4AE1DFC61E}" name="Trait[]" dataDxfId="81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A11A4CC-8C78-411F-9CEB-37996D5AE19B}" name="テーブル8" displayName="テーブル8" ref="A1:O126" totalsRowShown="0" headerRowDxfId="59" dataDxfId="60" headerRowBorderDxfId="77" tableBorderDxfId="78" totalsRowBorderDxfId="76">
  <autoFilter ref="A1:O126" xr:uid="{4A11A4CC-8C78-411F-9CEB-37996D5AE19B}"/>
  <tableColumns count="15">
    <tableColumn id="1" xr3:uid="{FA920798-AD77-47B8-9AB9-87C881E3D83D}" name="ID" dataDxfId="75"/>
    <tableColumn id="2" xr3:uid="{F0DCE188-CC15-4768-B455-A7D6DAE5DFB9}" name="SelectClass" dataDxfId="74"/>
    <tableColumn id="3" xr3:uid="{2CF96536-4228-4C93-B905-50E54E69C7E8}" name="Class" dataDxfId="73">
      <calculatedColumnFormula>VLOOKUP(B2,Select!A:H,8,FALSE)</calculatedColumnFormula>
    </tableColumn>
    <tableColumn id="4" xr3:uid="{ECE2A06B-48F0-44DC-BDEB-229AD0953051}" name="SelectRarity" dataDxfId="72"/>
    <tableColumn id="5" xr3:uid="{7AC98803-0961-4485-9CE6-DE801C769259}" name="Rarity" dataDxfId="71">
      <calculatedColumnFormula>VLOOKUP(D2,Select!B:H,7,FALSE)</calculatedColumnFormula>
    </tableColumn>
    <tableColumn id="6" xr3:uid="{BF6C45AC-F3C9-4375-9C42-7A7920DEF54E}" name="SelectType" dataDxfId="70"/>
    <tableColumn id="7" xr3:uid="{34C29628-9AD2-4FFC-8436-40EE1A246F1A}" name="Type" dataDxfId="69">
      <calculatedColumnFormula>VLOOKUP(F2,Select!C:H,6,FALSE)</calculatedColumnFormula>
    </tableColumn>
    <tableColumn id="8" xr3:uid="{021BEB65-56BD-4443-A10B-8A0D25EED082}" name="Name" dataDxfId="68"/>
    <tableColumn id="9" xr3:uid="{DE5E3AF7-36D5-497D-8768-5E71A595136C}" name="Cost" dataDxfId="67"/>
    <tableColumn id="10" xr3:uid="{13CFD394-D134-40D4-9907-47377A5D2E62}" name="Attack" dataDxfId="66"/>
    <tableColumn id="11" xr3:uid="{DC62A2F1-023B-4882-AAA6-45F233749B60}" name="Defence" dataDxfId="65"/>
    <tableColumn id="12" xr3:uid="{EBFF474E-210D-491C-8975-05780A9718F4}" name="IllustID" dataDxfId="64"/>
    <tableColumn id="13" xr3:uid="{430E6376-6C56-426C-91C6-5BE798C1AECE}" name="Token" dataDxfId="63"/>
    <tableColumn id="14" xr3:uid="{EB13BC15-0AF3-4AC3-B89E-26114C11B3E6}" name="SelectTrait" dataDxfId="62"/>
    <tableColumn id="15" xr3:uid="{A3897383-5D23-4D2B-B59C-A54242D63156}" name="Trait[]" dataDxfId="61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891DC0F-B39D-4475-A30B-AAA747E1847C}" name="テーブル9" displayName="テーブル9" ref="A1:O108" totalsRowShown="0" headerRowDxfId="39" dataDxfId="40" headerRowBorderDxfId="57" tableBorderDxfId="58" totalsRowBorderDxfId="56">
  <autoFilter ref="A1:O108" xr:uid="{C891DC0F-B39D-4475-A30B-AAA747E1847C}"/>
  <tableColumns count="15">
    <tableColumn id="1" xr3:uid="{760B410F-307C-4331-9A6C-D9178DB11F36}" name="ID" dataDxfId="55"/>
    <tableColumn id="2" xr3:uid="{35D472D6-3FD5-44A6-8514-DC99850F9C84}" name="SelectClass" dataDxfId="54"/>
    <tableColumn id="3" xr3:uid="{894CF5AC-3D09-4311-A92D-93ABB84FD308}" name="Class" dataDxfId="53">
      <calculatedColumnFormula>VLOOKUP(B2,Select!A:H,8,FALSE)</calculatedColumnFormula>
    </tableColumn>
    <tableColumn id="4" xr3:uid="{5B2DB70B-4BF2-4AD0-945C-E56883589DFE}" name="SelectRarity" dataDxfId="52"/>
    <tableColumn id="5" xr3:uid="{D15342AD-BA24-4712-86F8-7FCDE38D7B37}" name="Rarity" dataDxfId="51">
      <calculatedColumnFormula>VLOOKUP(D2,Select!B:H,7,FALSE)</calculatedColumnFormula>
    </tableColumn>
    <tableColumn id="6" xr3:uid="{803497C0-E56F-4C02-A3CE-F69592C5407A}" name="SelectType" dataDxfId="50"/>
    <tableColumn id="7" xr3:uid="{A76047A8-4F29-4E87-9932-BBB4769FEA48}" name="Type" dataDxfId="49">
      <calculatedColumnFormula>VLOOKUP(F2,Select!C:H,6,FALSE)</calculatedColumnFormula>
    </tableColumn>
    <tableColumn id="8" xr3:uid="{FA6BCF9F-C71E-4ABB-963B-87BCB26AB6E9}" name="Name" dataDxfId="48"/>
    <tableColumn id="9" xr3:uid="{E81E62DE-A77C-4664-9AB4-DD698CDAF8F0}" name="Cost" dataDxfId="47"/>
    <tableColumn id="10" xr3:uid="{FA7EF4A3-AC12-478E-8D2D-62AF3D79608D}" name="Attack" dataDxfId="46"/>
    <tableColumn id="11" xr3:uid="{06B4196D-4596-498D-8E21-39C0E2B865CA}" name="Defence" dataDxfId="45"/>
    <tableColumn id="12" xr3:uid="{EB8FC063-E274-443F-B65F-7A501C388657}" name="IllustID" dataDxfId="44"/>
    <tableColumn id="13" xr3:uid="{20FF165A-8A46-48C2-9AE3-C834803F21DB}" name="Token" dataDxfId="43"/>
    <tableColumn id="14" xr3:uid="{9B4CB9CC-2CE6-4779-B61A-4497EDC66383}" name="SelectTrait" dataDxfId="42"/>
    <tableColumn id="15" xr3:uid="{7C1268D4-8892-45D5-983A-B8BF75E84418}" name="Trait[]" dataDxfId="41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15CC20-0ADA-49D6-9B10-63FB14AE280C}" name="テーブル10" displayName="テーブル10" ref="A1:O108" totalsRowShown="0" headerRowDxfId="20" dataDxfId="21" headerRowBorderDxfId="37" tableBorderDxfId="38">
  <autoFilter ref="A1:O108" xr:uid="{7215CC20-0ADA-49D6-9B10-63FB14AE280C}"/>
  <tableColumns count="15">
    <tableColumn id="1" xr3:uid="{B93600F3-34AD-48AF-B519-B7BBEAF43F37}" name="ID" dataDxfId="36"/>
    <tableColumn id="2" xr3:uid="{CDCA6B96-FAEE-42E8-8B23-531AAEE6CBC5}" name="SelectClass" dataDxfId="35"/>
    <tableColumn id="3" xr3:uid="{005C7DB7-E6C8-40FB-9DE3-C23309FC8F2B}" name="Class" dataDxfId="34">
      <calculatedColumnFormula>VLOOKUP(B2,Select!A:H,8,FALSE)</calculatedColumnFormula>
    </tableColumn>
    <tableColumn id="4" xr3:uid="{5F55476A-3F9F-41CA-B09D-DA52AB57C67E}" name="SelectRarity" dataDxfId="33"/>
    <tableColumn id="5" xr3:uid="{4E6BFDF8-2F53-4E21-973F-B06002E8063E}" name="Rarity" dataDxfId="32">
      <calculatedColumnFormula>VLOOKUP(D2,Select!B:H,7,FALSE)</calculatedColumnFormula>
    </tableColumn>
    <tableColumn id="6" xr3:uid="{571F7524-2BE5-4876-9E21-3BB1646B58C9}" name="SelectType" dataDxfId="31"/>
    <tableColumn id="7" xr3:uid="{81D50664-AF43-4B87-BC9A-BD922690A1F6}" name="Type" dataDxfId="30">
      <calculatedColumnFormula>VLOOKUP(F2,Select!C:H,6,FALSE)</calculatedColumnFormula>
    </tableColumn>
    <tableColumn id="8" xr3:uid="{8393952C-B673-444F-B1C6-D9221B1C4487}" name="Name" dataDxfId="29"/>
    <tableColumn id="9" xr3:uid="{107ED3C4-CD6C-4607-ACFA-3BF4976E9937}" name="Cost" dataDxfId="28"/>
    <tableColumn id="10" xr3:uid="{7DCA918B-9956-466A-83CD-230F6A432BD8}" name="Attack" dataDxfId="27"/>
    <tableColumn id="11" xr3:uid="{F81A4392-1BB5-4178-97B9-FEC135CB425C}" name="Defence" dataDxfId="26"/>
    <tableColumn id="12" xr3:uid="{ADE5BC32-1482-4B71-96E7-E877EEE67CE4}" name="IllustID" dataDxfId="25"/>
    <tableColumn id="13" xr3:uid="{DAFDAE91-658F-4D39-9525-022FAC9A025B}" name="Token" dataDxfId="24"/>
    <tableColumn id="14" xr3:uid="{18F4F1B1-4CE4-4685-898B-99C5E47585C6}" name="SelectTrait" dataDxfId="23"/>
    <tableColumn id="15" xr3:uid="{65228C33-E21B-4D72-87D4-D8697B0CC8DA}" name="Trait[]" dataDxfId="22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FFAE13-A81F-4401-9310-66900F115EC7}" name="テーブル11" displayName="テーブル11" ref="A1:O109" totalsRowShown="0" headerRowDxfId="0" dataDxfId="1" headerRowBorderDxfId="18" tableBorderDxfId="19" totalsRowBorderDxfId="17">
  <autoFilter ref="A1:O109" xr:uid="{DBFFAE13-A81F-4401-9310-66900F115EC7}"/>
  <tableColumns count="15">
    <tableColumn id="1" xr3:uid="{5AA31CE5-641A-4497-B667-BED3BE110E23}" name="ID" dataDxfId="16"/>
    <tableColumn id="2" xr3:uid="{02A3A5CA-2D76-49EB-B624-8A80B0F935FE}" name="SelectClass" dataDxfId="15"/>
    <tableColumn id="3" xr3:uid="{86138D6A-AC5D-4637-A76A-D0C9BD59B898}" name="Class" dataDxfId="14">
      <calculatedColumnFormula>VLOOKUP(B2,Select!A:H,8,FALSE)</calculatedColumnFormula>
    </tableColumn>
    <tableColumn id="4" xr3:uid="{C357E591-7EC9-4ABE-9F65-C7DD85837522}" name="SelectRarity" dataDxfId="13"/>
    <tableColumn id="5" xr3:uid="{4130DEB5-FF31-4873-A595-6CBC3B41F670}" name="Rarity" dataDxfId="12">
      <calculatedColumnFormula>VLOOKUP(D2,Select!B:H,7,FALSE)</calculatedColumnFormula>
    </tableColumn>
    <tableColumn id="6" xr3:uid="{7D2D14A8-A75A-4E84-AD6A-4E392B345DCC}" name="SelectType" dataDxfId="11"/>
    <tableColumn id="7" xr3:uid="{A6DD455F-956E-4E29-A0AB-3BD8F6CD8C65}" name="Type" dataDxfId="10">
      <calculatedColumnFormula>VLOOKUP(F2,Select!C:H,6,FALSE)</calculatedColumnFormula>
    </tableColumn>
    <tableColumn id="8" xr3:uid="{FB4B26A9-27F5-4FF1-AC83-330E251D1D2B}" name="Name" dataDxfId="9"/>
    <tableColumn id="9" xr3:uid="{6602BCE9-29DA-4235-8C32-EAA3837768B1}" name="Cost" dataDxfId="8"/>
    <tableColumn id="10" xr3:uid="{9BFA8AE4-AD26-44DF-97FB-B05B8AE34075}" name="Attack" dataDxfId="7"/>
    <tableColumn id="11" xr3:uid="{389B7962-1C62-4A19-A6A6-CC937A339978}" name="Defence" dataDxfId="6"/>
    <tableColumn id="12" xr3:uid="{21C6169B-C873-4CBD-A7EB-B8D5DDD96A09}" name="IllustID" dataDxfId="5"/>
    <tableColumn id="13" xr3:uid="{BC2A2ECF-874B-4892-8986-71EB01629E4D}" name="Token" dataDxfId="4"/>
    <tableColumn id="14" xr3:uid="{77997D6A-5B57-483B-BE7D-1007FC0766F3}" name="SelectTrait" dataDxfId="3"/>
    <tableColumn id="15" xr3:uid="{FA9BA2C4-7AF1-4D0B-9DD0-A6BC968332F5}" name="Trait[]" dataDxfId="2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E381B-AAB2-42D6-BA43-D4B282ACC7A7}">
  <dimension ref="A1:O77"/>
  <sheetViews>
    <sheetView workbookViewId="0">
      <selection activeCell="S14" sqref="S13:S14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6" t="s">
        <v>292</v>
      </c>
      <c r="B1" s="17" t="s">
        <v>1481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7</v>
      </c>
      <c r="I1" s="17" t="s">
        <v>8</v>
      </c>
      <c r="J1" s="17" t="s">
        <v>9</v>
      </c>
      <c r="K1" s="17" t="s">
        <v>299</v>
      </c>
      <c r="L1" s="17" t="s">
        <v>1493</v>
      </c>
      <c r="M1" s="17" t="s">
        <v>301</v>
      </c>
      <c r="N1" s="17" t="s">
        <v>475</v>
      </c>
      <c r="O1" s="18" t="s">
        <v>476</v>
      </c>
    </row>
    <row r="2" spans="1:15">
      <c r="A2" s="13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31</v>
      </c>
      <c r="I2" s="5">
        <v>2</v>
      </c>
      <c r="J2" s="5">
        <v>2</v>
      </c>
      <c r="K2" s="5">
        <v>2</v>
      </c>
      <c r="L2" s="5"/>
      <c r="M2" s="5" t="b">
        <v>0</v>
      </c>
      <c r="N2" s="5" t="s">
        <v>477</v>
      </c>
      <c r="O2" s="15">
        <f>VLOOKUP(N2,Select!D:H,5,FALSE)</f>
        <v>0</v>
      </c>
    </row>
    <row r="3" spans="1:15">
      <c r="A3" s="14">
        <v>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32</v>
      </c>
      <c r="I3" s="1">
        <v>2</v>
      </c>
      <c r="J3" s="1">
        <v>0</v>
      </c>
      <c r="K3" s="1">
        <v>2</v>
      </c>
      <c r="L3" s="1"/>
      <c r="M3" s="1" t="b">
        <v>0</v>
      </c>
      <c r="N3" s="1" t="s">
        <v>477</v>
      </c>
      <c r="O3" s="15">
        <f>VLOOKUP(N3,Select!D:H,5,FALSE)</f>
        <v>0</v>
      </c>
    </row>
    <row r="4" spans="1:15">
      <c r="A4" s="13">
        <v>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 t="s">
        <v>33</v>
      </c>
      <c r="I4" s="5">
        <v>4</v>
      </c>
      <c r="J4" s="5">
        <v>4</v>
      </c>
      <c r="K4" s="5">
        <v>5</v>
      </c>
      <c r="L4" s="5"/>
      <c r="M4" s="5" t="b">
        <v>0</v>
      </c>
      <c r="N4" s="5" t="s">
        <v>477</v>
      </c>
      <c r="O4" s="15">
        <f>VLOOKUP(N4,Select!D:H,5,FALSE)</f>
        <v>0</v>
      </c>
    </row>
    <row r="5" spans="1:15">
      <c r="A5" s="14">
        <v>3</v>
      </c>
      <c r="B5" s="1" t="s">
        <v>1</v>
      </c>
      <c r="C5" s="6">
        <f>VLOOKUP(B5,Select!A:H,8,FALSE)</f>
        <v>0</v>
      </c>
      <c r="D5" s="1" t="s">
        <v>10</v>
      </c>
      <c r="E5" s="6">
        <f>VLOOKUP(D5,Select!B:H,7,FALSE)</f>
        <v>0</v>
      </c>
      <c r="F5" s="1" t="s">
        <v>34</v>
      </c>
      <c r="G5" s="6">
        <f>VLOOKUP(F5,Select!C:H,6,FALSE)</f>
        <v>2</v>
      </c>
      <c r="H5" s="1" t="s">
        <v>35</v>
      </c>
      <c r="I5" s="1">
        <v>2</v>
      </c>
      <c r="J5" s="1"/>
      <c r="K5" s="1"/>
      <c r="L5" s="1"/>
      <c r="M5" s="1" t="b">
        <v>0</v>
      </c>
      <c r="N5" s="1" t="s">
        <v>477</v>
      </c>
      <c r="O5" s="15">
        <f>VLOOKUP(N5,Select!D:H,5,FALSE)</f>
        <v>0</v>
      </c>
    </row>
    <row r="6" spans="1:15">
      <c r="A6" s="13">
        <v>4</v>
      </c>
      <c r="B6" s="5" t="s">
        <v>1</v>
      </c>
      <c r="C6" s="6">
        <f>VLOOKUP(B6,Select!A:H,8,FALSE)</f>
        <v>0</v>
      </c>
      <c r="D6" s="5" t="s">
        <v>36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5" t="s">
        <v>37</v>
      </c>
      <c r="I6" s="5">
        <v>3</v>
      </c>
      <c r="J6" s="5">
        <v>3</v>
      </c>
      <c r="K6" s="5">
        <v>3</v>
      </c>
      <c r="L6" s="5"/>
      <c r="M6" s="5" t="b">
        <v>0</v>
      </c>
      <c r="N6" s="5" t="s">
        <v>477</v>
      </c>
      <c r="O6" s="15">
        <f>VLOOKUP(N6,Select!D:H,5,FALSE)</f>
        <v>0</v>
      </c>
    </row>
    <row r="7" spans="1:15">
      <c r="A7" s="14">
        <v>5</v>
      </c>
      <c r="B7" s="1" t="s">
        <v>1</v>
      </c>
      <c r="C7" s="6">
        <f>VLOOKUP(B7,Select!A:H,8,FALSE)</f>
        <v>0</v>
      </c>
      <c r="D7" s="1" t="s">
        <v>36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1" t="s">
        <v>38</v>
      </c>
      <c r="I7" s="1">
        <v>7</v>
      </c>
      <c r="J7" s="1">
        <v>10</v>
      </c>
      <c r="K7" s="1">
        <v>10</v>
      </c>
      <c r="L7" s="1"/>
      <c r="M7" s="1" t="b">
        <v>0</v>
      </c>
      <c r="N7" s="1" t="s">
        <v>477</v>
      </c>
      <c r="O7" s="15">
        <f>VLOOKUP(N7,Select!D:H,5,FALSE)</f>
        <v>0</v>
      </c>
    </row>
    <row r="8" spans="1:15">
      <c r="A8" s="13">
        <v>6</v>
      </c>
      <c r="B8" s="5" t="s">
        <v>1</v>
      </c>
      <c r="C8" s="6">
        <f>VLOOKUP(B8,Select!A:H,8,FALSE)</f>
        <v>0</v>
      </c>
      <c r="D8" s="5" t="s">
        <v>36</v>
      </c>
      <c r="E8" s="6">
        <f>VLOOKUP(D8,Select!B:H,7,FALSE)</f>
        <v>1</v>
      </c>
      <c r="F8" s="5" t="s">
        <v>34</v>
      </c>
      <c r="G8" s="6">
        <f>VLOOKUP(F8,Select!C:H,6,FALSE)</f>
        <v>2</v>
      </c>
      <c r="H8" s="5" t="s">
        <v>1480</v>
      </c>
      <c r="I8" s="5">
        <v>3</v>
      </c>
      <c r="J8" s="5"/>
      <c r="K8" s="5"/>
      <c r="L8" s="5"/>
      <c r="M8" s="5" t="b">
        <v>0</v>
      </c>
      <c r="N8" s="5" t="s">
        <v>477</v>
      </c>
      <c r="O8" s="15">
        <f>VLOOKUP(N8,Select!D:H,5,FALSE)</f>
        <v>0</v>
      </c>
    </row>
    <row r="9" spans="1:15">
      <c r="A9" s="14">
        <v>100</v>
      </c>
      <c r="B9" s="1" t="s">
        <v>24</v>
      </c>
      <c r="C9" s="6">
        <f>VLOOKUP(B9,Select!A:H,8,FALSE)</f>
        <v>1</v>
      </c>
      <c r="D9" s="1" t="s">
        <v>10</v>
      </c>
      <c r="E9" s="6">
        <f>VLOOKUP(D9,Select!B:H,7,FALSE)</f>
        <v>0</v>
      </c>
      <c r="F9" s="1" t="s">
        <v>3</v>
      </c>
      <c r="G9" s="6">
        <f>VLOOKUP(F9,Select!C:H,6,FALSE)</f>
        <v>0</v>
      </c>
      <c r="H9" s="1" t="s">
        <v>39</v>
      </c>
      <c r="I9" s="1">
        <v>2</v>
      </c>
      <c r="J9" s="1">
        <v>2</v>
      </c>
      <c r="K9" s="1">
        <v>2</v>
      </c>
      <c r="L9" s="1"/>
      <c r="M9" s="1" t="b">
        <v>0</v>
      </c>
      <c r="N9" s="1" t="s">
        <v>477</v>
      </c>
      <c r="O9" s="15">
        <f>VLOOKUP(N9,Select!D:H,5,FALSE)</f>
        <v>0</v>
      </c>
    </row>
    <row r="10" spans="1:15">
      <c r="A10" s="13">
        <v>101</v>
      </c>
      <c r="B10" s="5" t="s">
        <v>24</v>
      </c>
      <c r="C10" s="6">
        <f>VLOOKUP(B10,Select!A:H,8,FALSE)</f>
        <v>1</v>
      </c>
      <c r="D10" s="5" t="s">
        <v>10</v>
      </c>
      <c r="E10" s="6">
        <f>VLOOKUP(D10,Select!B:H,7,FALSE)</f>
        <v>0</v>
      </c>
      <c r="F10" s="5" t="s">
        <v>3</v>
      </c>
      <c r="G10" s="6">
        <f>VLOOKUP(F10,Select!C:H,6,FALSE)</f>
        <v>0</v>
      </c>
      <c r="H10" s="5" t="s">
        <v>40</v>
      </c>
      <c r="I10" s="5">
        <v>2</v>
      </c>
      <c r="J10" s="5">
        <v>2</v>
      </c>
      <c r="K10" s="5">
        <v>2</v>
      </c>
      <c r="L10" s="5"/>
      <c r="M10" s="5" t="b">
        <v>0</v>
      </c>
      <c r="N10" s="5" t="s">
        <v>477</v>
      </c>
      <c r="O10" s="15">
        <f>VLOOKUP(N10,Select!D:H,5,FALSE)</f>
        <v>0</v>
      </c>
    </row>
    <row r="11" spans="1:15">
      <c r="A11" s="14">
        <v>102</v>
      </c>
      <c r="B11" s="1" t="s">
        <v>24</v>
      </c>
      <c r="C11" s="6">
        <f>VLOOKUP(B11,Select!A:H,8,FALSE)</f>
        <v>1</v>
      </c>
      <c r="D11" s="1" t="s">
        <v>10</v>
      </c>
      <c r="E11" s="6">
        <f>VLOOKUP(D11,Select!B:H,7,FALSE)</f>
        <v>0</v>
      </c>
      <c r="F11" s="1" t="s">
        <v>3</v>
      </c>
      <c r="G11" s="6">
        <f>VLOOKUP(F11,Select!C:H,6,FALSE)</f>
        <v>0</v>
      </c>
      <c r="H11" s="1" t="s">
        <v>41</v>
      </c>
      <c r="I11" s="1">
        <v>4</v>
      </c>
      <c r="J11" s="1">
        <v>4</v>
      </c>
      <c r="K11" s="1">
        <v>4</v>
      </c>
      <c r="L11" s="1"/>
      <c r="M11" s="1" t="b">
        <v>0</v>
      </c>
      <c r="N11" s="1" t="s">
        <v>477</v>
      </c>
      <c r="O11" s="15">
        <f>VLOOKUP(N11,Select!D:H,5,FALSE)</f>
        <v>0</v>
      </c>
    </row>
    <row r="12" spans="1:15">
      <c r="A12" s="13">
        <v>103</v>
      </c>
      <c r="B12" s="5" t="s">
        <v>24</v>
      </c>
      <c r="C12" s="6">
        <f>VLOOKUP(B12,Select!A:H,8,FALSE)</f>
        <v>1</v>
      </c>
      <c r="D12" s="5" t="s">
        <v>10</v>
      </c>
      <c r="E12" s="6">
        <f>VLOOKUP(D12,Select!B:H,7,FALSE)</f>
        <v>0</v>
      </c>
      <c r="F12" s="5" t="s">
        <v>34</v>
      </c>
      <c r="G12" s="6">
        <f>VLOOKUP(F12,Select!C:H,6,FALSE)</f>
        <v>2</v>
      </c>
      <c r="H12" s="5" t="s">
        <v>42</v>
      </c>
      <c r="I12" s="5">
        <v>2</v>
      </c>
      <c r="J12" s="5"/>
      <c r="K12" s="5"/>
      <c r="L12" s="5"/>
      <c r="M12" s="5" t="b">
        <v>0</v>
      </c>
      <c r="N12" s="5" t="s">
        <v>477</v>
      </c>
      <c r="O12" s="15">
        <f>VLOOKUP(N12,Select!D:H,5,FALSE)</f>
        <v>0</v>
      </c>
    </row>
    <row r="13" spans="1:15">
      <c r="A13" s="14">
        <v>104</v>
      </c>
      <c r="B13" s="1" t="s">
        <v>24</v>
      </c>
      <c r="C13" s="6">
        <f>VLOOKUP(B13,Select!A:H,8,FALSE)</f>
        <v>1</v>
      </c>
      <c r="D13" s="1" t="s">
        <v>36</v>
      </c>
      <c r="E13" s="6">
        <f>VLOOKUP(D13,Select!B:H,7,FALSE)</f>
        <v>1</v>
      </c>
      <c r="F13" s="1" t="s">
        <v>3</v>
      </c>
      <c r="G13" s="6">
        <f>VLOOKUP(F13,Select!C:H,6,FALSE)</f>
        <v>0</v>
      </c>
      <c r="H13" s="1" t="s">
        <v>43</v>
      </c>
      <c r="I13" s="1">
        <v>1</v>
      </c>
      <c r="J13" s="1">
        <v>1</v>
      </c>
      <c r="K13" s="1">
        <v>1</v>
      </c>
      <c r="L13" s="1"/>
      <c r="M13" s="1" t="b">
        <v>0</v>
      </c>
      <c r="N13" s="1" t="s">
        <v>477</v>
      </c>
      <c r="O13" s="15">
        <f>VLOOKUP(N13,Select!D:H,5,FALSE)</f>
        <v>0</v>
      </c>
    </row>
    <row r="14" spans="1:15">
      <c r="A14" s="13">
        <v>105</v>
      </c>
      <c r="B14" s="5" t="s">
        <v>24</v>
      </c>
      <c r="C14" s="6">
        <f>VLOOKUP(B14,Select!A:H,8,FALSE)</f>
        <v>1</v>
      </c>
      <c r="D14" s="5" t="s">
        <v>36</v>
      </c>
      <c r="E14" s="6">
        <f>VLOOKUP(D14,Select!B:H,7,FALSE)</f>
        <v>1</v>
      </c>
      <c r="F14" s="5" t="s">
        <v>3</v>
      </c>
      <c r="G14" s="6">
        <f>VLOOKUP(F14,Select!C:H,6,FALSE)</f>
        <v>0</v>
      </c>
      <c r="H14" s="5" t="s">
        <v>44</v>
      </c>
      <c r="I14" s="5">
        <v>7</v>
      </c>
      <c r="J14" s="5">
        <v>4</v>
      </c>
      <c r="K14" s="5">
        <v>6</v>
      </c>
      <c r="L14" s="5"/>
      <c r="M14" s="5" t="b">
        <v>0</v>
      </c>
      <c r="N14" s="5" t="s">
        <v>477</v>
      </c>
      <c r="O14" s="15">
        <f>VLOOKUP(N14,Select!D:H,5,FALSE)</f>
        <v>0</v>
      </c>
    </row>
    <row r="15" spans="1:15">
      <c r="A15" s="14">
        <v>106</v>
      </c>
      <c r="B15" s="1" t="s">
        <v>24</v>
      </c>
      <c r="C15" s="6">
        <f>VLOOKUP(B15,Select!A:H,8,FALSE)</f>
        <v>1</v>
      </c>
      <c r="D15" s="1" t="s">
        <v>36</v>
      </c>
      <c r="E15" s="6">
        <f>VLOOKUP(D15,Select!B:H,7,FALSE)</f>
        <v>1</v>
      </c>
      <c r="F15" s="1" t="s">
        <v>23</v>
      </c>
      <c r="G15" s="6">
        <f>VLOOKUP(F15,Select!C:H,6,FALSE)</f>
        <v>1</v>
      </c>
      <c r="H15" s="1" t="s">
        <v>45</v>
      </c>
      <c r="I15" s="1">
        <v>1</v>
      </c>
      <c r="J15" s="1"/>
      <c r="K15" s="1"/>
      <c r="L15" s="1"/>
      <c r="M15" s="1" t="b">
        <v>0</v>
      </c>
      <c r="N15" s="1" t="s">
        <v>477</v>
      </c>
      <c r="O15" s="15">
        <f>VLOOKUP(N15,Select!D:H,5,FALSE)</f>
        <v>0</v>
      </c>
    </row>
    <row r="16" spans="1:15">
      <c r="A16" s="13">
        <v>107</v>
      </c>
      <c r="B16" s="5" t="s">
        <v>24</v>
      </c>
      <c r="C16" s="6">
        <f>VLOOKUP(B16,Select!A:H,8,FALSE)</f>
        <v>1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229</v>
      </c>
      <c r="I16" s="5">
        <v>1</v>
      </c>
      <c r="J16" s="5">
        <v>1</v>
      </c>
      <c r="K16" s="5">
        <v>1</v>
      </c>
      <c r="L16" s="5"/>
      <c r="M16" s="5" t="b">
        <v>1</v>
      </c>
      <c r="N16" s="5" t="s">
        <v>463</v>
      </c>
      <c r="O16" s="15">
        <f>VLOOKUP(N16,Select!D:H,5,FALSE)</f>
        <v>4</v>
      </c>
    </row>
    <row r="17" spans="1:15">
      <c r="A17" s="14">
        <v>200</v>
      </c>
      <c r="B17" s="1" t="s">
        <v>25</v>
      </c>
      <c r="C17" s="6">
        <f>VLOOKUP(B17,Select!A:H,8,FALSE)</f>
        <v>2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46</v>
      </c>
      <c r="I17" s="1">
        <v>1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5">
        <f>VLOOKUP(N17,Select!D:H,5,FALSE)</f>
        <v>0</v>
      </c>
    </row>
    <row r="18" spans="1:15">
      <c r="A18" s="13">
        <v>201</v>
      </c>
      <c r="B18" s="5" t="s">
        <v>25</v>
      </c>
      <c r="C18" s="6">
        <f>VLOOKUP(B18,Select!A:H,8,FALSE)</f>
        <v>2</v>
      </c>
      <c r="D18" s="5" t="s">
        <v>10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5" t="s">
        <v>47</v>
      </c>
      <c r="I18" s="5">
        <v>4</v>
      </c>
      <c r="J18" s="5">
        <v>3</v>
      </c>
      <c r="K18" s="5">
        <v>2</v>
      </c>
      <c r="L18" s="5"/>
      <c r="M18" s="5" t="b">
        <v>0</v>
      </c>
      <c r="N18" s="5" t="s">
        <v>477</v>
      </c>
      <c r="O18" s="15">
        <f>VLOOKUP(N18,Select!D:H,5,FALSE)</f>
        <v>0</v>
      </c>
    </row>
    <row r="19" spans="1:15">
      <c r="A19" s="14">
        <v>202</v>
      </c>
      <c r="B19" s="1" t="s">
        <v>25</v>
      </c>
      <c r="C19" s="6">
        <f>VLOOKUP(B19,Select!A:H,8,FALSE)</f>
        <v>2</v>
      </c>
      <c r="D19" s="1" t="s">
        <v>10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1" t="s">
        <v>48</v>
      </c>
      <c r="I19" s="1">
        <v>8</v>
      </c>
      <c r="J19" s="1">
        <v>7</v>
      </c>
      <c r="K19" s="1">
        <v>5</v>
      </c>
      <c r="L19" s="1"/>
      <c r="M19" s="1" t="b">
        <v>0</v>
      </c>
      <c r="N19" s="1" t="s">
        <v>477</v>
      </c>
      <c r="O19" s="15">
        <f>VLOOKUP(N19,Select!D:H,5,FALSE)</f>
        <v>0</v>
      </c>
    </row>
    <row r="20" spans="1:15">
      <c r="A20" s="13">
        <v>203</v>
      </c>
      <c r="B20" s="5" t="s">
        <v>25</v>
      </c>
      <c r="C20" s="6">
        <f>VLOOKUP(B20,Select!A:H,8,FALSE)</f>
        <v>2</v>
      </c>
      <c r="D20" s="5" t="s">
        <v>10</v>
      </c>
      <c r="E20" s="6">
        <f>VLOOKUP(D20,Select!B:H,7,FALSE)</f>
        <v>0</v>
      </c>
      <c r="F20" s="5" t="s">
        <v>23</v>
      </c>
      <c r="G20" s="6">
        <f>VLOOKUP(F20,Select!C:H,6,FALSE)</f>
        <v>1</v>
      </c>
      <c r="H20" s="5" t="s">
        <v>49</v>
      </c>
      <c r="I20" s="5">
        <v>2</v>
      </c>
      <c r="J20" s="5"/>
      <c r="K20" s="5"/>
      <c r="L20" s="5"/>
      <c r="M20" s="5" t="b">
        <v>0</v>
      </c>
      <c r="N20" s="5" t="s">
        <v>477</v>
      </c>
      <c r="O20" s="15">
        <f>VLOOKUP(N20,Select!D:H,5,FALSE)</f>
        <v>0</v>
      </c>
    </row>
    <row r="21" spans="1:15">
      <c r="A21" s="14">
        <v>204</v>
      </c>
      <c r="B21" s="1" t="s">
        <v>25</v>
      </c>
      <c r="C21" s="6">
        <f>VLOOKUP(B21,Select!A:H,8,FALSE)</f>
        <v>2</v>
      </c>
      <c r="D21" s="1" t="s">
        <v>36</v>
      </c>
      <c r="E21" s="6">
        <f>VLOOKUP(D21,Select!B:H,7,FALSE)</f>
        <v>1</v>
      </c>
      <c r="F21" s="1" t="s">
        <v>3</v>
      </c>
      <c r="G21" s="6">
        <f>VLOOKUP(F21,Select!C:H,6,FALSE)</f>
        <v>0</v>
      </c>
      <c r="H21" s="1" t="s">
        <v>50</v>
      </c>
      <c r="I21" s="1">
        <v>2</v>
      </c>
      <c r="J21" s="1">
        <v>1</v>
      </c>
      <c r="K21" s="1">
        <v>2</v>
      </c>
      <c r="L21" s="1"/>
      <c r="M21" s="1" t="b">
        <v>0</v>
      </c>
      <c r="N21" s="1" t="s">
        <v>477</v>
      </c>
      <c r="O21" s="15">
        <f>VLOOKUP(N21,Select!D:H,5,FALSE)</f>
        <v>0</v>
      </c>
    </row>
    <row r="22" spans="1:15">
      <c r="A22" s="13">
        <v>205</v>
      </c>
      <c r="B22" s="5" t="s">
        <v>25</v>
      </c>
      <c r="C22" s="6">
        <f>VLOOKUP(B22,Select!A:H,8,FALSE)</f>
        <v>2</v>
      </c>
      <c r="D22" s="5" t="s">
        <v>36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51</v>
      </c>
      <c r="I22" s="5">
        <v>3</v>
      </c>
      <c r="J22" s="5">
        <v>3</v>
      </c>
      <c r="K22" s="5">
        <v>3</v>
      </c>
      <c r="L22" s="5"/>
      <c r="M22" s="5" t="b">
        <v>0</v>
      </c>
      <c r="N22" s="5" t="s">
        <v>477</v>
      </c>
      <c r="O22" s="15">
        <f>VLOOKUP(N22,Select!D:H,5,FALSE)</f>
        <v>0</v>
      </c>
    </row>
    <row r="23" spans="1:15">
      <c r="A23" s="14">
        <v>206</v>
      </c>
      <c r="B23" s="1" t="s">
        <v>25</v>
      </c>
      <c r="C23" s="6">
        <f>VLOOKUP(B23,Select!A:H,8,FALSE)</f>
        <v>2</v>
      </c>
      <c r="D23" s="1" t="s">
        <v>36</v>
      </c>
      <c r="E23" s="6">
        <f>VLOOKUP(D23,Select!B:H,7,FALSE)</f>
        <v>1</v>
      </c>
      <c r="F23" s="1" t="s">
        <v>34</v>
      </c>
      <c r="G23" s="6">
        <f>VLOOKUP(F23,Select!C:H,6,FALSE)</f>
        <v>2</v>
      </c>
      <c r="H23" s="1" t="s">
        <v>52</v>
      </c>
      <c r="I23" s="1">
        <v>4</v>
      </c>
      <c r="J23" s="1"/>
      <c r="K23" s="1"/>
      <c r="L23" s="1"/>
      <c r="M23" s="1" t="b">
        <v>0</v>
      </c>
      <c r="N23" s="1" t="s">
        <v>477</v>
      </c>
      <c r="O23" s="15">
        <f>VLOOKUP(N23,Select!D:H,5,FALSE)</f>
        <v>0</v>
      </c>
    </row>
    <row r="24" spans="1:15">
      <c r="A24" s="13">
        <v>207</v>
      </c>
      <c r="B24" s="5" t="s">
        <v>25</v>
      </c>
      <c r="C24" s="6">
        <f>VLOOKUP(B24,Select!A:H,8,FALSE)</f>
        <v>2</v>
      </c>
      <c r="D24" s="5" t="s">
        <v>10</v>
      </c>
      <c r="E24" s="6">
        <f>VLOOKUP(D24,Select!B:H,7,FALSE)</f>
        <v>0</v>
      </c>
      <c r="F24" s="5" t="s">
        <v>3</v>
      </c>
      <c r="G24" s="6">
        <f>VLOOKUP(F24,Select!C:H,6,FALSE)</f>
        <v>0</v>
      </c>
      <c r="H24" s="5" t="s">
        <v>230</v>
      </c>
      <c r="I24" s="5">
        <v>0</v>
      </c>
      <c r="J24" s="5">
        <v>1</v>
      </c>
      <c r="K24" s="5">
        <v>1</v>
      </c>
      <c r="L24" s="5"/>
      <c r="M24" s="5" t="b">
        <v>1</v>
      </c>
      <c r="N24" s="5" t="s">
        <v>460</v>
      </c>
      <c r="O24" s="15">
        <f>VLOOKUP(N24,Select!D:H,5,FALSE)</f>
        <v>1</v>
      </c>
    </row>
    <row r="25" spans="1:15">
      <c r="A25" s="14">
        <v>300</v>
      </c>
      <c r="B25" s="1" t="s">
        <v>22</v>
      </c>
      <c r="C25" s="6">
        <f>VLOOKUP(B25,Select!A:H,8,FALSE)</f>
        <v>3</v>
      </c>
      <c r="D25" s="1" t="s">
        <v>10</v>
      </c>
      <c r="E25" s="6">
        <f>VLOOKUP(D25,Select!B:H,7,FALSE)</f>
        <v>0</v>
      </c>
      <c r="F25" s="1" t="s">
        <v>3</v>
      </c>
      <c r="G25" s="6">
        <f>VLOOKUP(F25,Select!C:H,6,FALSE)</f>
        <v>0</v>
      </c>
      <c r="H25" s="1" t="s">
        <v>53</v>
      </c>
      <c r="I25" s="1">
        <v>3</v>
      </c>
      <c r="J25" s="1">
        <v>2</v>
      </c>
      <c r="K25" s="1">
        <v>2</v>
      </c>
      <c r="L25" s="1"/>
      <c r="M25" s="1" t="b">
        <v>0</v>
      </c>
      <c r="N25" s="1" t="s">
        <v>477</v>
      </c>
      <c r="O25" s="15">
        <f>VLOOKUP(N25,Select!D:H,5,FALSE)</f>
        <v>0</v>
      </c>
    </row>
    <row r="26" spans="1:15">
      <c r="A26" s="13">
        <v>301</v>
      </c>
      <c r="B26" s="5" t="s">
        <v>22</v>
      </c>
      <c r="C26" s="6">
        <f>VLOOKUP(B26,Select!A:H,8,FALSE)</f>
        <v>3</v>
      </c>
      <c r="D26" s="5" t="s">
        <v>10</v>
      </c>
      <c r="E26" s="6">
        <f>VLOOKUP(D26,Select!B:H,7,FALSE)</f>
        <v>0</v>
      </c>
      <c r="F26" s="5" t="s">
        <v>23</v>
      </c>
      <c r="G26" s="6">
        <f>VLOOKUP(F26,Select!C:H,6,FALSE)</f>
        <v>1</v>
      </c>
      <c r="H26" s="5" t="s">
        <v>54</v>
      </c>
      <c r="I26" s="5">
        <v>1</v>
      </c>
      <c r="J26" s="5"/>
      <c r="K26" s="5"/>
      <c r="L26" s="5"/>
      <c r="M26" s="5" t="b">
        <v>0</v>
      </c>
      <c r="N26" s="5" t="s">
        <v>477</v>
      </c>
      <c r="O26" s="15">
        <f>VLOOKUP(N26,Select!D:H,5,FALSE)</f>
        <v>0</v>
      </c>
    </row>
    <row r="27" spans="1:15">
      <c r="A27" s="14">
        <v>302</v>
      </c>
      <c r="B27" s="1" t="s">
        <v>22</v>
      </c>
      <c r="C27" s="6">
        <f>VLOOKUP(B27,Select!A:H,8,FALSE)</f>
        <v>3</v>
      </c>
      <c r="D27" s="1" t="s">
        <v>10</v>
      </c>
      <c r="E27" s="6">
        <f>VLOOKUP(D27,Select!B:H,7,FALSE)</f>
        <v>0</v>
      </c>
      <c r="F27" s="1" t="s">
        <v>23</v>
      </c>
      <c r="G27" s="6">
        <f>VLOOKUP(F27,Select!C:H,6,FALSE)</f>
        <v>1</v>
      </c>
      <c r="H27" s="1" t="s">
        <v>55</v>
      </c>
      <c r="I27" s="1">
        <v>2</v>
      </c>
      <c r="J27" s="1"/>
      <c r="K27" s="1"/>
      <c r="L27" s="1"/>
      <c r="M27" s="1" t="b">
        <v>0</v>
      </c>
      <c r="N27" s="1" t="s">
        <v>477</v>
      </c>
      <c r="O27" s="15">
        <f>VLOOKUP(N27,Select!D:H,5,FALSE)</f>
        <v>0</v>
      </c>
    </row>
    <row r="28" spans="1:15">
      <c r="A28" s="13">
        <v>303</v>
      </c>
      <c r="B28" s="5" t="s">
        <v>22</v>
      </c>
      <c r="C28" s="6">
        <f>VLOOKUP(B28,Select!A:H,8,FALSE)</f>
        <v>3</v>
      </c>
      <c r="D28" s="5" t="s">
        <v>10</v>
      </c>
      <c r="E28" s="6">
        <f>VLOOKUP(D28,Select!B:H,7,FALSE)</f>
        <v>0</v>
      </c>
      <c r="F28" s="5" t="s">
        <v>34</v>
      </c>
      <c r="G28" s="6">
        <f>VLOOKUP(F28,Select!C:H,6,FALSE)</f>
        <v>2</v>
      </c>
      <c r="H28" s="5" t="s">
        <v>56</v>
      </c>
      <c r="I28" s="5">
        <v>1</v>
      </c>
      <c r="J28" s="5"/>
      <c r="K28" s="5"/>
      <c r="L28" s="5"/>
      <c r="M28" s="5" t="b">
        <v>0</v>
      </c>
      <c r="N28" s="5" t="s">
        <v>465</v>
      </c>
      <c r="O28" s="15">
        <f>VLOOKUP(N28,Select!D:H,5,FALSE)</f>
        <v>6</v>
      </c>
    </row>
    <row r="29" spans="1:15">
      <c r="A29" s="14">
        <v>304</v>
      </c>
      <c r="B29" s="1" t="s">
        <v>22</v>
      </c>
      <c r="C29" s="6">
        <f>VLOOKUP(B29,Select!A:H,8,FALSE)</f>
        <v>3</v>
      </c>
      <c r="D29" s="1" t="s">
        <v>36</v>
      </c>
      <c r="E29" s="6">
        <f>VLOOKUP(D29,Select!B:H,7,FALSE)</f>
        <v>1</v>
      </c>
      <c r="F29" s="1" t="s">
        <v>3</v>
      </c>
      <c r="G29" s="6">
        <f>VLOOKUP(F29,Select!C:H,6,FALSE)</f>
        <v>0</v>
      </c>
      <c r="H29" s="1" t="s">
        <v>57</v>
      </c>
      <c r="I29" s="1">
        <v>4</v>
      </c>
      <c r="J29" s="1">
        <v>4</v>
      </c>
      <c r="K29" s="1">
        <v>4</v>
      </c>
      <c r="L29" s="1"/>
      <c r="M29" s="1" t="b">
        <v>0</v>
      </c>
      <c r="N29" s="1" t="s">
        <v>477</v>
      </c>
      <c r="O29" s="15">
        <f>VLOOKUP(N29,Select!D:H,5,FALSE)</f>
        <v>0</v>
      </c>
    </row>
    <row r="30" spans="1:15">
      <c r="A30" s="13">
        <v>305</v>
      </c>
      <c r="B30" s="5" t="s">
        <v>22</v>
      </c>
      <c r="C30" s="6">
        <f>VLOOKUP(B30,Select!A:H,8,FALSE)</f>
        <v>3</v>
      </c>
      <c r="D30" s="5" t="s">
        <v>36</v>
      </c>
      <c r="E30" s="6">
        <f>VLOOKUP(D30,Select!B:H,7,FALSE)</f>
        <v>1</v>
      </c>
      <c r="F30" s="5" t="s">
        <v>3</v>
      </c>
      <c r="G30" s="6">
        <f>VLOOKUP(F30,Select!C:H,6,FALSE)</f>
        <v>0</v>
      </c>
      <c r="H30" s="5" t="s">
        <v>58</v>
      </c>
      <c r="I30" s="5">
        <v>10</v>
      </c>
      <c r="J30" s="5">
        <v>8</v>
      </c>
      <c r="K30" s="5">
        <v>6</v>
      </c>
      <c r="L30" s="5"/>
      <c r="M30" s="5" t="b">
        <v>0</v>
      </c>
      <c r="N30" s="5" t="s">
        <v>477</v>
      </c>
      <c r="O30" s="15">
        <f>VLOOKUP(N30,Select!D:H,5,FALSE)</f>
        <v>0</v>
      </c>
    </row>
    <row r="31" spans="1:15">
      <c r="A31" s="14">
        <v>306</v>
      </c>
      <c r="B31" s="1" t="s">
        <v>17</v>
      </c>
      <c r="C31" s="6">
        <f>VLOOKUP(B31,Select!A:H,8,FALSE)</f>
        <v>3</v>
      </c>
      <c r="D31" s="1" t="s">
        <v>36</v>
      </c>
      <c r="E31" s="6">
        <f>VLOOKUP(D31,Select!B:H,7,FALSE)</f>
        <v>1</v>
      </c>
      <c r="F31" s="1" t="s">
        <v>23</v>
      </c>
      <c r="G31" s="6">
        <f>VLOOKUP(F31,Select!C:H,6,FALSE)</f>
        <v>1</v>
      </c>
      <c r="H31" s="1" t="s">
        <v>59</v>
      </c>
      <c r="I31" s="1">
        <v>4</v>
      </c>
      <c r="J31" s="1"/>
      <c r="K31" s="1"/>
      <c r="L31" s="1"/>
      <c r="M31" s="1" t="b">
        <v>0</v>
      </c>
      <c r="N31" s="1" t="s">
        <v>477</v>
      </c>
      <c r="O31" s="15">
        <f>VLOOKUP(N31,Select!D:H,5,FALSE)</f>
        <v>0</v>
      </c>
    </row>
    <row r="32" spans="1:15">
      <c r="A32" s="13">
        <v>307</v>
      </c>
      <c r="B32" s="5" t="s">
        <v>17</v>
      </c>
      <c r="C32" s="6">
        <f>VLOOKUP(B32,Select!A:H,8,FALSE)</f>
        <v>3</v>
      </c>
      <c r="D32" s="5" t="s">
        <v>10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231</v>
      </c>
      <c r="I32" s="5">
        <v>2</v>
      </c>
      <c r="J32" s="5">
        <v>2</v>
      </c>
      <c r="K32" s="5">
        <v>2</v>
      </c>
      <c r="L32" s="5"/>
      <c r="M32" s="5" t="b">
        <v>1</v>
      </c>
      <c r="N32" s="5" t="s">
        <v>479</v>
      </c>
      <c r="O32" s="15">
        <f>VLOOKUP(N32,Select!D:H,5,FALSE)</f>
        <v>8</v>
      </c>
    </row>
    <row r="33" spans="1:15">
      <c r="A33" s="14">
        <v>308</v>
      </c>
      <c r="B33" s="1" t="s">
        <v>17</v>
      </c>
      <c r="C33" s="6">
        <f>VLOOKUP(B33,Select!A:H,8,FALSE)</f>
        <v>3</v>
      </c>
      <c r="D33" s="1" t="s">
        <v>10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1" t="s">
        <v>232</v>
      </c>
      <c r="I33" s="1">
        <v>3</v>
      </c>
      <c r="J33" s="1">
        <v>3</v>
      </c>
      <c r="K33" s="1">
        <v>3</v>
      </c>
      <c r="L33" s="1"/>
      <c r="M33" s="1" t="b">
        <v>1</v>
      </c>
      <c r="N33" s="1" t="s">
        <v>479</v>
      </c>
      <c r="O33" s="15">
        <f>VLOOKUP(N33,Select!D:H,5,FALSE)</f>
        <v>8</v>
      </c>
    </row>
    <row r="34" spans="1:15">
      <c r="A34" s="13">
        <v>309</v>
      </c>
      <c r="B34" s="5" t="s">
        <v>17</v>
      </c>
      <c r="C34" s="6">
        <f>VLOOKUP(B34,Select!A:H,8,FALSE)</f>
        <v>3</v>
      </c>
      <c r="D34" s="5" t="s">
        <v>10</v>
      </c>
      <c r="E34" s="6">
        <f>VLOOKUP(D34,Select!B:H,7,FALSE)</f>
        <v>0</v>
      </c>
      <c r="F34" s="5" t="s">
        <v>34</v>
      </c>
      <c r="G34" s="6">
        <f>VLOOKUP(F34,Select!C:H,6,FALSE)</f>
        <v>2</v>
      </c>
      <c r="H34" s="5" t="s">
        <v>233</v>
      </c>
      <c r="I34" s="5">
        <v>3</v>
      </c>
      <c r="J34" s="5"/>
      <c r="K34" s="5"/>
      <c r="L34" s="5"/>
      <c r="M34" s="5" t="b">
        <v>1</v>
      </c>
      <c r="N34" s="5" t="s">
        <v>465</v>
      </c>
      <c r="O34" s="15">
        <f>VLOOKUP(N34,Select!D:H,5,FALSE)</f>
        <v>6</v>
      </c>
    </row>
    <row r="35" spans="1:15">
      <c r="A35" s="14">
        <v>400</v>
      </c>
      <c r="B35" s="1" t="s">
        <v>26</v>
      </c>
      <c r="C35" s="6">
        <f>VLOOKUP(B35,Select!A:H,8,FALSE)</f>
        <v>4</v>
      </c>
      <c r="D35" s="1" t="s">
        <v>10</v>
      </c>
      <c r="E35" s="6">
        <f>VLOOKUP(D35,Select!B:H,7,FALSE)</f>
        <v>0</v>
      </c>
      <c r="F35" s="1" t="s">
        <v>3</v>
      </c>
      <c r="G35" s="6">
        <f>VLOOKUP(F35,Select!C:H,6,FALSE)</f>
        <v>0</v>
      </c>
      <c r="H35" s="1" t="s">
        <v>60</v>
      </c>
      <c r="I35" s="1">
        <v>2</v>
      </c>
      <c r="J35" s="1">
        <v>2</v>
      </c>
      <c r="K35" s="1">
        <v>2</v>
      </c>
      <c r="L35" s="1"/>
      <c r="M35" s="1" t="b">
        <v>0</v>
      </c>
      <c r="N35" s="1" t="s">
        <v>477</v>
      </c>
      <c r="O35" s="15">
        <f>VLOOKUP(N35,Select!D:H,5,FALSE)</f>
        <v>0</v>
      </c>
    </row>
    <row r="36" spans="1:15">
      <c r="A36" s="13">
        <v>401</v>
      </c>
      <c r="B36" s="5" t="s">
        <v>26</v>
      </c>
      <c r="C36" s="6">
        <f>VLOOKUP(B36,Select!A:H,8,FALSE)</f>
        <v>4</v>
      </c>
      <c r="D36" s="5" t="s">
        <v>10</v>
      </c>
      <c r="E36" s="6">
        <f>VLOOKUP(D36,Select!B:H,7,FALSE)</f>
        <v>0</v>
      </c>
      <c r="F36" s="5" t="s">
        <v>3</v>
      </c>
      <c r="G36" s="6">
        <f>VLOOKUP(F36,Select!C:H,6,FALSE)</f>
        <v>0</v>
      </c>
      <c r="H36" s="5" t="s">
        <v>61</v>
      </c>
      <c r="I36" s="5">
        <v>6</v>
      </c>
      <c r="J36" s="5">
        <v>5</v>
      </c>
      <c r="K36" s="5">
        <v>10</v>
      </c>
      <c r="L36" s="5"/>
      <c r="M36" s="5" t="b">
        <v>0</v>
      </c>
      <c r="N36" s="5" t="s">
        <v>477</v>
      </c>
      <c r="O36" s="15">
        <f>VLOOKUP(N36,Select!D:H,5,FALSE)</f>
        <v>0</v>
      </c>
    </row>
    <row r="37" spans="1:15">
      <c r="A37" s="14">
        <v>402</v>
      </c>
      <c r="B37" s="1" t="s">
        <v>26</v>
      </c>
      <c r="C37" s="6">
        <f>VLOOKUP(B37,Select!A:H,8,FALSE)</f>
        <v>4</v>
      </c>
      <c r="D37" s="1" t="s">
        <v>10</v>
      </c>
      <c r="E37" s="6">
        <f>VLOOKUP(D37,Select!B:H,7,FALSE)</f>
        <v>0</v>
      </c>
      <c r="F37" s="1" t="s">
        <v>3</v>
      </c>
      <c r="G37" s="6">
        <f>VLOOKUP(F37,Select!C:H,6,FALSE)</f>
        <v>0</v>
      </c>
      <c r="H37" s="1" t="s">
        <v>62</v>
      </c>
      <c r="I37" s="1">
        <v>8</v>
      </c>
      <c r="J37" s="1">
        <v>6</v>
      </c>
      <c r="K37" s="1">
        <v>6</v>
      </c>
      <c r="L37" s="1"/>
      <c r="M37" s="1" t="b">
        <v>0</v>
      </c>
      <c r="N37" s="1" t="s">
        <v>477</v>
      </c>
      <c r="O37" s="15">
        <f>VLOOKUP(N37,Select!D:H,5,FALSE)</f>
        <v>0</v>
      </c>
    </row>
    <row r="38" spans="1:15">
      <c r="A38" s="13">
        <v>403</v>
      </c>
      <c r="B38" s="5" t="s">
        <v>26</v>
      </c>
      <c r="C38" s="6">
        <f>VLOOKUP(B38,Select!A:H,8,FALSE)</f>
        <v>4</v>
      </c>
      <c r="D38" s="5" t="s">
        <v>10</v>
      </c>
      <c r="E38" s="6">
        <f>VLOOKUP(D38,Select!B:H,7,FALSE)</f>
        <v>0</v>
      </c>
      <c r="F38" s="5" t="s">
        <v>23</v>
      </c>
      <c r="G38" s="6">
        <f>VLOOKUP(F38,Select!C:H,6,FALSE)</f>
        <v>1</v>
      </c>
      <c r="H38" s="5" t="s">
        <v>63</v>
      </c>
      <c r="I38" s="5">
        <v>1</v>
      </c>
      <c r="J38" s="5"/>
      <c r="K38" s="5"/>
      <c r="L38" s="5"/>
      <c r="M38" s="5" t="b">
        <v>0</v>
      </c>
      <c r="N38" s="5" t="s">
        <v>477</v>
      </c>
      <c r="O38" s="15">
        <f>VLOOKUP(N38,Select!D:H,5,FALSE)</f>
        <v>0</v>
      </c>
    </row>
    <row r="39" spans="1:15">
      <c r="A39" s="14">
        <v>404</v>
      </c>
      <c r="B39" s="1" t="s">
        <v>26</v>
      </c>
      <c r="C39" s="6">
        <f>VLOOKUP(B39,Select!A:H,8,FALSE)</f>
        <v>4</v>
      </c>
      <c r="D39" s="1" t="s">
        <v>36</v>
      </c>
      <c r="E39" s="6">
        <f>VLOOKUP(D39,Select!B:H,7,FALSE)</f>
        <v>1</v>
      </c>
      <c r="F39" s="1" t="s">
        <v>3</v>
      </c>
      <c r="G39" s="6">
        <f>VLOOKUP(F39,Select!C:H,6,FALSE)</f>
        <v>0</v>
      </c>
      <c r="H39" s="1" t="s">
        <v>64</v>
      </c>
      <c r="I39" s="1">
        <v>4</v>
      </c>
      <c r="J39" s="1">
        <v>4</v>
      </c>
      <c r="K39" s="1">
        <v>5</v>
      </c>
      <c r="L39" s="1"/>
      <c r="M39" s="1" t="b">
        <v>0</v>
      </c>
      <c r="N39" s="1" t="s">
        <v>477</v>
      </c>
      <c r="O39" s="15">
        <f>VLOOKUP(N39,Select!D:H,5,FALSE)</f>
        <v>0</v>
      </c>
    </row>
    <row r="40" spans="1:15">
      <c r="A40" s="13">
        <v>405</v>
      </c>
      <c r="B40" s="5" t="s">
        <v>26</v>
      </c>
      <c r="C40" s="6">
        <f>VLOOKUP(B40,Select!A:H,8,FALSE)</f>
        <v>4</v>
      </c>
      <c r="D40" s="5" t="s">
        <v>36</v>
      </c>
      <c r="E40" s="6">
        <f>VLOOKUP(D40,Select!B:H,7,FALSE)</f>
        <v>1</v>
      </c>
      <c r="F40" s="5" t="s">
        <v>3</v>
      </c>
      <c r="G40" s="6">
        <f>VLOOKUP(F40,Select!C:H,6,FALSE)</f>
        <v>0</v>
      </c>
      <c r="H40" s="5" t="s">
        <v>65</v>
      </c>
      <c r="I40" s="5">
        <v>5</v>
      </c>
      <c r="J40" s="5">
        <v>5</v>
      </c>
      <c r="K40" s="5">
        <v>5</v>
      </c>
      <c r="L40" s="5"/>
      <c r="M40" s="5" t="b">
        <v>0</v>
      </c>
      <c r="N40" s="5" t="s">
        <v>477</v>
      </c>
      <c r="O40" s="15">
        <f>VLOOKUP(N40,Select!D:H,5,FALSE)</f>
        <v>0</v>
      </c>
    </row>
    <row r="41" spans="1:15">
      <c r="A41" s="14">
        <v>406</v>
      </c>
      <c r="B41" s="1" t="s">
        <v>26</v>
      </c>
      <c r="C41" s="6">
        <f>VLOOKUP(B41,Select!A:H,8,FALSE)</f>
        <v>4</v>
      </c>
      <c r="D41" s="1" t="s">
        <v>36</v>
      </c>
      <c r="E41" s="6">
        <f>VLOOKUP(D41,Select!B:H,7,FALSE)</f>
        <v>1</v>
      </c>
      <c r="F41" s="1" t="s">
        <v>23</v>
      </c>
      <c r="G41" s="6">
        <f>VLOOKUP(F41,Select!C:H,6,FALSE)</f>
        <v>1</v>
      </c>
      <c r="H41" s="1" t="s">
        <v>66</v>
      </c>
      <c r="I41" s="1">
        <v>3</v>
      </c>
      <c r="J41" s="1"/>
      <c r="K41" s="1"/>
      <c r="L41" s="1"/>
      <c r="M41" s="1" t="b">
        <v>0</v>
      </c>
      <c r="N41" s="1" t="s">
        <v>477</v>
      </c>
      <c r="O41" s="15">
        <f>VLOOKUP(N41,Select!D:H,5,FALSE)</f>
        <v>0</v>
      </c>
    </row>
    <row r="42" spans="1:15">
      <c r="A42" s="13">
        <v>407</v>
      </c>
      <c r="B42" s="5" t="s">
        <v>26</v>
      </c>
      <c r="C42" s="6">
        <f>VLOOKUP(B42,Select!A:H,8,FALSE)</f>
        <v>4</v>
      </c>
      <c r="D42" s="5" t="s">
        <v>10</v>
      </c>
      <c r="E42" s="6">
        <f>VLOOKUP(D42,Select!B:H,7,FALSE)</f>
        <v>0</v>
      </c>
      <c r="F42" s="5" t="s">
        <v>4</v>
      </c>
      <c r="G42" s="6">
        <f>VLOOKUP(F42,Select!C:H,6,FALSE)</f>
        <v>0</v>
      </c>
      <c r="H42" s="5" t="s">
        <v>234</v>
      </c>
      <c r="I42" s="5">
        <v>5</v>
      </c>
      <c r="J42" s="5">
        <v>5</v>
      </c>
      <c r="K42" s="5">
        <v>5</v>
      </c>
      <c r="L42" s="5"/>
      <c r="M42" s="5" t="b">
        <v>1</v>
      </c>
      <c r="N42" s="5" t="s">
        <v>477</v>
      </c>
      <c r="O42" s="15">
        <f>VLOOKUP(N42,Select!D:H,5,FALSE)</f>
        <v>0</v>
      </c>
    </row>
    <row r="43" spans="1:15">
      <c r="A43" s="14">
        <v>500</v>
      </c>
      <c r="B43" s="1" t="s">
        <v>27</v>
      </c>
      <c r="C43" s="6">
        <f>VLOOKUP(B43,Select!A:H,8,FALSE)</f>
        <v>5</v>
      </c>
      <c r="D43" s="1" t="s">
        <v>10</v>
      </c>
      <c r="E43" s="6">
        <f>VLOOKUP(D43,Select!B:H,7,FALSE)</f>
        <v>0</v>
      </c>
      <c r="F43" s="1" t="s">
        <v>3</v>
      </c>
      <c r="G43" s="6">
        <f>VLOOKUP(F43,Select!C:H,6,FALSE)</f>
        <v>0</v>
      </c>
      <c r="H43" s="1" t="s">
        <v>67</v>
      </c>
      <c r="I43" s="1">
        <v>2</v>
      </c>
      <c r="J43" s="1">
        <v>2</v>
      </c>
      <c r="K43" s="1">
        <v>2</v>
      </c>
      <c r="L43" s="1"/>
      <c r="M43" s="1" t="b">
        <v>0</v>
      </c>
      <c r="N43" s="1" t="s">
        <v>477</v>
      </c>
      <c r="O43" s="15">
        <f>VLOOKUP(N43,Select!D:H,5,FALSE)</f>
        <v>0</v>
      </c>
    </row>
    <row r="44" spans="1:15">
      <c r="A44" s="13">
        <v>501</v>
      </c>
      <c r="B44" s="5" t="s">
        <v>27</v>
      </c>
      <c r="C44" s="6">
        <f>VLOOKUP(B44,Select!A:H,8,FALSE)</f>
        <v>5</v>
      </c>
      <c r="D44" s="5" t="s">
        <v>10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68</v>
      </c>
      <c r="I44" s="5">
        <v>3</v>
      </c>
      <c r="J44" s="5">
        <v>4</v>
      </c>
      <c r="K44" s="5">
        <v>3</v>
      </c>
      <c r="L44" s="5"/>
      <c r="M44" s="5" t="b">
        <v>0</v>
      </c>
      <c r="N44" s="5" t="s">
        <v>477</v>
      </c>
      <c r="O44" s="15">
        <f>VLOOKUP(N44,Select!D:H,5,FALSE)</f>
        <v>0</v>
      </c>
    </row>
    <row r="45" spans="1:15">
      <c r="A45" s="14">
        <v>502</v>
      </c>
      <c r="B45" s="1" t="s">
        <v>27</v>
      </c>
      <c r="C45" s="6">
        <f>VLOOKUP(B45,Select!A:H,8,FALSE)</f>
        <v>5</v>
      </c>
      <c r="D45" s="1" t="s">
        <v>10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1" t="s">
        <v>69</v>
      </c>
      <c r="I45" s="1">
        <v>6</v>
      </c>
      <c r="J45" s="1">
        <v>3</v>
      </c>
      <c r="K45" s="1">
        <v>6</v>
      </c>
      <c r="L45" s="1"/>
      <c r="M45" s="1" t="b">
        <v>0</v>
      </c>
      <c r="N45" s="1" t="s">
        <v>477</v>
      </c>
      <c r="O45" s="15">
        <f>VLOOKUP(N45,Select!D:H,5,FALSE)</f>
        <v>0</v>
      </c>
    </row>
    <row r="46" spans="1:15">
      <c r="A46" s="13">
        <v>503</v>
      </c>
      <c r="B46" s="5" t="s">
        <v>27</v>
      </c>
      <c r="C46" s="6">
        <f>VLOOKUP(B46,Select!A:H,8,FALSE)</f>
        <v>5</v>
      </c>
      <c r="D46" s="5" t="s">
        <v>10</v>
      </c>
      <c r="E46" s="6">
        <f>VLOOKUP(D46,Select!B:H,7,FALSE)</f>
        <v>0</v>
      </c>
      <c r="F46" s="5" t="s">
        <v>5</v>
      </c>
      <c r="G46" s="6">
        <f>VLOOKUP(F46,Select!C:H,6,FALSE)</f>
        <v>1</v>
      </c>
      <c r="H46" s="5" t="s">
        <v>70</v>
      </c>
      <c r="I46" s="5">
        <v>2</v>
      </c>
      <c r="J46" s="5"/>
      <c r="K46" s="5"/>
      <c r="L46" s="5"/>
      <c r="M46" s="5" t="b">
        <v>0</v>
      </c>
      <c r="N46" s="5" t="s">
        <v>477</v>
      </c>
      <c r="O46" s="15">
        <f>VLOOKUP(N46,Select!D:H,5,FALSE)</f>
        <v>0</v>
      </c>
    </row>
    <row r="47" spans="1:15">
      <c r="A47" s="14">
        <v>504</v>
      </c>
      <c r="B47" s="1" t="s">
        <v>27</v>
      </c>
      <c r="C47" s="6">
        <f>VLOOKUP(B47,Select!A:H,8,FALSE)</f>
        <v>5</v>
      </c>
      <c r="D47" s="1" t="s">
        <v>36</v>
      </c>
      <c r="E47" s="6">
        <f>VLOOKUP(D47,Select!B:H,7,FALSE)</f>
        <v>1</v>
      </c>
      <c r="F47" s="1" t="s">
        <v>3</v>
      </c>
      <c r="G47" s="6">
        <f>VLOOKUP(F47,Select!C:H,6,FALSE)</f>
        <v>0</v>
      </c>
      <c r="H47" s="1" t="s">
        <v>71</v>
      </c>
      <c r="I47" s="1">
        <v>1</v>
      </c>
      <c r="J47" s="1">
        <v>1</v>
      </c>
      <c r="K47" s="1">
        <v>1</v>
      </c>
      <c r="L47" s="1"/>
      <c r="M47" s="1" t="b">
        <v>0</v>
      </c>
      <c r="N47" s="1" t="s">
        <v>477</v>
      </c>
      <c r="O47" s="15">
        <f>VLOOKUP(N47,Select!D:H,5,FALSE)</f>
        <v>0</v>
      </c>
    </row>
    <row r="48" spans="1:15">
      <c r="A48" s="13">
        <v>505</v>
      </c>
      <c r="B48" s="5" t="s">
        <v>27</v>
      </c>
      <c r="C48" s="6">
        <f>VLOOKUP(B48,Select!A:H,8,FALSE)</f>
        <v>5</v>
      </c>
      <c r="D48" s="5" t="s">
        <v>36</v>
      </c>
      <c r="E48" s="6">
        <f>VLOOKUP(D48,Select!B:H,7,FALSE)</f>
        <v>1</v>
      </c>
      <c r="F48" s="5" t="s">
        <v>3</v>
      </c>
      <c r="G48" s="6">
        <f>VLOOKUP(F48,Select!C:H,6,FALSE)</f>
        <v>0</v>
      </c>
      <c r="H48" s="5" t="s">
        <v>72</v>
      </c>
      <c r="I48" s="5">
        <v>4</v>
      </c>
      <c r="J48" s="5">
        <v>5</v>
      </c>
      <c r="K48" s="5">
        <v>4</v>
      </c>
      <c r="L48" s="5"/>
      <c r="M48" s="5" t="b">
        <v>0</v>
      </c>
      <c r="N48" s="5" t="s">
        <v>477</v>
      </c>
      <c r="O48" s="15">
        <f>VLOOKUP(N48,Select!D:H,5,FALSE)</f>
        <v>0</v>
      </c>
    </row>
    <row r="49" spans="1:15">
      <c r="A49" s="14">
        <v>506</v>
      </c>
      <c r="B49" s="1" t="s">
        <v>27</v>
      </c>
      <c r="C49" s="6">
        <f>VLOOKUP(B49,Select!A:H,8,FALSE)</f>
        <v>5</v>
      </c>
      <c r="D49" s="1" t="s">
        <v>36</v>
      </c>
      <c r="E49" s="6">
        <f>VLOOKUP(D49,Select!B:H,7,FALSE)</f>
        <v>1</v>
      </c>
      <c r="F49" s="1" t="s">
        <v>23</v>
      </c>
      <c r="G49" s="6">
        <f>VLOOKUP(F49,Select!C:H,6,FALSE)</f>
        <v>1</v>
      </c>
      <c r="H49" s="1" t="s">
        <v>73</v>
      </c>
      <c r="I49" s="1">
        <v>2</v>
      </c>
      <c r="J49" s="1"/>
      <c r="K49" s="1"/>
      <c r="L49" s="1"/>
      <c r="M49" s="1" t="b">
        <v>0</v>
      </c>
      <c r="N49" s="1" t="s">
        <v>477</v>
      </c>
      <c r="O49" s="15">
        <f>VLOOKUP(N49,Select!D:H,5,FALSE)</f>
        <v>0</v>
      </c>
    </row>
    <row r="50" spans="1:15">
      <c r="A50" s="13">
        <v>507</v>
      </c>
      <c r="B50" s="5" t="s">
        <v>27</v>
      </c>
      <c r="C50" s="6">
        <f>VLOOKUP(B50,Select!A:H,8,FALSE)</f>
        <v>5</v>
      </c>
      <c r="D50" s="5" t="s">
        <v>10</v>
      </c>
      <c r="E50" s="6">
        <f>VLOOKUP(D50,Select!B:H,7,FALSE)</f>
        <v>0</v>
      </c>
      <c r="F50" s="5" t="s">
        <v>3</v>
      </c>
      <c r="G50" s="6">
        <f>VLOOKUP(F50,Select!C:H,6,FALSE)</f>
        <v>0</v>
      </c>
      <c r="H50" s="5" t="s">
        <v>235</v>
      </c>
      <c r="I50" s="5">
        <v>1</v>
      </c>
      <c r="J50" s="5">
        <v>1</v>
      </c>
      <c r="K50" s="5">
        <v>1</v>
      </c>
      <c r="L50" s="5"/>
      <c r="M50" s="5" t="b">
        <v>1</v>
      </c>
      <c r="N50" s="5" t="s">
        <v>477</v>
      </c>
      <c r="O50" s="15">
        <f>VLOOKUP(N50,Select!D:H,5,FALSE)</f>
        <v>0</v>
      </c>
    </row>
    <row r="51" spans="1:15">
      <c r="A51" s="14">
        <v>508</v>
      </c>
      <c r="B51" s="1" t="s">
        <v>27</v>
      </c>
      <c r="C51" s="6">
        <f>VLOOKUP(B51,Select!A:H,8,FALSE)</f>
        <v>5</v>
      </c>
      <c r="D51" s="1" t="s">
        <v>10</v>
      </c>
      <c r="E51" s="6">
        <f>VLOOKUP(D51,Select!B:H,7,FALSE)</f>
        <v>0</v>
      </c>
      <c r="F51" s="1" t="s">
        <v>3</v>
      </c>
      <c r="G51" s="6">
        <f>VLOOKUP(F51,Select!C:H,6,FALSE)</f>
        <v>0</v>
      </c>
      <c r="H51" s="1" t="s">
        <v>236</v>
      </c>
      <c r="I51" s="1">
        <v>1</v>
      </c>
      <c r="J51" s="1">
        <v>1</v>
      </c>
      <c r="K51" s="1">
        <v>1</v>
      </c>
      <c r="L51" s="1"/>
      <c r="M51" s="1" t="b">
        <v>0</v>
      </c>
      <c r="N51" s="1" t="s">
        <v>464</v>
      </c>
      <c r="O51" s="15">
        <f>VLOOKUP(N51,Select!D:H,5,FALSE)</f>
        <v>5</v>
      </c>
    </row>
    <row r="52" spans="1:15">
      <c r="A52" s="13">
        <v>600</v>
      </c>
      <c r="B52" s="5" t="s">
        <v>29</v>
      </c>
      <c r="C52" s="6">
        <f>VLOOKUP(B52,Select!A:H,8,FALSE)</f>
        <v>6</v>
      </c>
      <c r="D52" s="5" t="s">
        <v>10</v>
      </c>
      <c r="E52" s="6">
        <f>VLOOKUP(D52,Select!B:H,7,FALSE)</f>
        <v>0</v>
      </c>
      <c r="F52" s="5" t="s">
        <v>3</v>
      </c>
      <c r="G52" s="6">
        <f>VLOOKUP(F52,Select!C:H,6,FALSE)</f>
        <v>0</v>
      </c>
      <c r="H52" s="5" t="s">
        <v>74</v>
      </c>
      <c r="I52" s="5">
        <v>2</v>
      </c>
      <c r="J52" s="5">
        <v>1</v>
      </c>
      <c r="K52" s="5">
        <v>3</v>
      </c>
      <c r="L52" s="5"/>
      <c r="M52" s="5" t="b">
        <v>0</v>
      </c>
      <c r="N52" s="5" t="s">
        <v>477</v>
      </c>
      <c r="O52" s="15">
        <f>VLOOKUP(N52,Select!D:H,5,FALSE)</f>
        <v>0</v>
      </c>
    </row>
    <row r="53" spans="1:15">
      <c r="A53" s="14">
        <v>601</v>
      </c>
      <c r="B53" s="1" t="s">
        <v>29</v>
      </c>
      <c r="C53" s="6">
        <f>VLOOKUP(B53,Select!A:H,8,FALSE)</f>
        <v>6</v>
      </c>
      <c r="D53" s="1" t="s">
        <v>10</v>
      </c>
      <c r="E53" s="6">
        <f>VLOOKUP(D53,Select!B:H,7,FALSE)</f>
        <v>0</v>
      </c>
      <c r="F53" s="1" t="s">
        <v>3</v>
      </c>
      <c r="G53" s="6">
        <f>VLOOKUP(F53,Select!C:H,6,FALSE)</f>
        <v>0</v>
      </c>
      <c r="H53" s="1" t="s">
        <v>75</v>
      </c>
      <c r="I53" s="1">
        <v>4</v>
      </c>
      <c r="J53" s="1">
        <v>4</v>
      </c>
      <c r="K53" s="1">
        <v>4</v>
      </c>
      <c r="L53" s="1"/>
      <c r="M53" s="1" t="b">
        <v>0</v>
      </c>
      <c r="N53" s="1" t="s">
        <v>477</v>
      </c>
      <c r="O53" s="15">
        <f>VLOOKUP(N53,Select!D:H,5,FALSE)</f>
        <v>0</v>
      </c>
    </row>
    <row r="54" spans="1:15">
      <c r="A54" s="13">
        <v>602</v>
      </c>
      <c r="B54" s="5" t="s">
        <v>29</v>
      </c>
      <c r="C54" s="6">
        <f>VLOOKUP(B54,Select!A:H,8,FALSE)</f>
        <v>6</v>
      </c>
      <c r="D54" s="5" t="s">
        <v>10</v>
      </c>
      <c r="E54" s="6">
        <f>VLOOKUP(D54,Select!B:H,7,FALSE)</f>
        <v>0</v>
      </c>
      <c r="F54" s="5" t="s">
        <v>3</v>
      </c>
      <c r="G54" s="6">
        <f>VLOOKUP(F54,Select!C:H,6,FALSE)</f>
        <v>0</v>
      </c>
      <c r="H54" s="5" t="s">
        <v>76</v>
      </c>
      <c r="I54" s="5">
        <v>6</v>
      </c>
      <c r="J54" s="5">
        <v>3</v>
      </c>
      <c r="K54" s="5">
        <v>5</v>
      </c>
      <c r="L54" s="5"/>
      <c r="M54" s="5" t="b">
        <v>0</v>
      </c>
      <c r="N54" s="5" t="s">
        <v>477</v>
      </c>
      <c r="O54" s="15">
        <f>VLOOKUP(N54,Select!D:H,5,FALSE)</f>
        <v>0</v>
      </c>
    </row>
    <row r="55" spans="1:15">
      <c r="A55" s="14">
        <v>603</v>
      </c>
      <c r="B55" s="1" t="s">
        <v>29</v>
      </c>
      <c r="C55" s="6">
        <f>VLOOKUP(B55,Select!A:H,8,FALSE)</f>
        <v>6</v>
      </c>
      <c r="D55" s="1" t="s">
        <v>10</v>
      </c>
      <c r="E55" s="6">
        <f>VLOOKUP(D55,Select!B:H,7,FALSE)</f>
        <v>0</v>
      </c>
      <c r="F55" s="1" t="s">
        <v>34</v>
      </c>
      <c r="G55" s="6">
        <f>VLOOKUP(F55,Select!C:H,6,FALSE)</f>
        <v>2</v>
      </c>
      <c r="H55" s="1" t="s">
        <v>77</v>
      </c>
      <c r="I55" s="1">
        <v>4</v>
      </c>
      <c r="J55" s="1"/>
      <c r="K55" s="1"/>
      <c r="L55" s="1"/>
      <c r="M55" s="1" t="b">
        <v>0</v>
      </c>
      <c r="N55" s="1" t="s">
        <v>477</v>
      </c>
      <c r="O55" s="15">
        <f>VLOOKUP(N55,Select!D:H,5,FALSE)</f>
        <v>0</v>
      </c>
    </row>
    <row r="56" spans="1:15">
      <c r="A56" s="13">
        <v>604</v>
      </c>
      <c r="B56" s="5" t="s">
        <v>29</v>
      </c>
      <c r="C56" s="6">
        <f>VLOOKUP(B56,Select!A:H,8,FALSE)</f>
        <v>6</v>
      </c>
      <c r="D56" s="5" t="s">
        <v>36</v>
      </c>
      <c r="E56" s="6">
        <f>VLOOKUP(D56,Select!B:H,7,FALSE)</f>
        <v>1</v>
      </c>
      <c r="F56" s="5" t="s">
        <v>3</v>
      </c>
      <c r="G56" s="6">
        <f>VLOOKUP(F56,Select!C:H,6,FALSE)</f>
        <v>0</v>
      </c>
      <c r="H56" s="5" t="s">
        <v>78</v>
      </c>
      <c r="I56" s="5">
        <v>4</v>
      </c>
      <c r="J56" s="5">
        <v>5</v>
      </c>
      <c r="K56" s="5">
        <v>4</v>
      </c>
      <c r="L56" s="5"/>
      <c r="M56" s="5" t="b">
        <v>0</v>
      </c>
      <c r="N56" s="5" t="s">
        <v>477</v>
      </c>
      <c r="O56" s="15">
        <f>VLOOKUP(N56,Select!D:H,5,FALSE)</f>
        <v>0</v>
      </c>
    </row>
    <row r="57" spans="1:15">
      <c r="A57" s="14">
        <v>605</v>
      </c>
      <c r="B57" s="1" t="s">
        <v>29</v>
      </c>
      <c r="C57" s="6">
        <f>VLOOKUP(B57,Select!A:H,8,FALSE)</f>
        <v>6</v>
      </c>
      <c r="D57" s="1" t="s">
        <v>36</v>
      </c>
      <c r="E57" s="6">
        <f>VLOOKUP(D57,Select!B:H,7,FALSE)</f>
        <v>1</v>
      </c>
      <c r="F57" s="1" t="s">
        <v>3</v>
      </c>
      <c r="G57" s="6">
        <f>VLOOKUP(F57,Select!C:H,6,FALSE)</f>
        <v>0</v>
      </c>
      <c r="H57" s="1" t="s">
        <v>79</v>
      </c>
      <c r="I57" s="1">
        <v>8</v>
      </c>
      <c r="J57" s="1">
        <v>6</v>
      </c>
      <c r="K57" s="1">
        <v>8</v>
      </c>
      <c r="L57" s="1"/>
      <c r="M57" s="1" t="b">
        <v>0</v>
      </c>
      <c r="N57" s="1" t="s">
        <v>477</v>
      </c>
      <c r="O57" s="15">
        <f>VLOOKUP(N57,Select!D:H,5,FALSE)</f>
        <v>0</v>
      </c>
    </row>
    <row r="58" spans="1:15">
      <c r="A58" s="13">
        <v>606</v>
      </c>
      <c r="B58" s="5" t="s">
        <v>29</v>
      </c>
      <c r="C58" s="6">
        <f>VLOOKUP(B58,Select!A:H,8,FALSE)</f>
        <v>6</v>
      </c>
      <c r="D58" s="5" t="s">
        <v>36</v>
      </c>
      <c r="E58" s="6">
        <f>VLOOKUP(D58,Select!B:H,7,FALSE)</f>
        <v>1</v>
      </c>
      <c r="F58" s="5" t="s">
        <v>34</v>
      </c>
      <c r="G58" s="6">
        <f>VLOOKUP(F58,Select!C:H,6,FALSE)</f>
        <v>2</v>
      </c>
      <c r="H58" s="5" t="s">
        <v>80</v>
      </c>
      <c r="I58" s="5">
        <v>1</v>
      </c>
      <c r="J58" s="5"/>
      <c r="K58" s="5"/>
      <c r="L58" s="5"/>
      <c r="M58" s="5" t="b">
        <v>0</v>
      </c>
      <c r="N58" s="5" t="s">
        <v>477</v>
      </c>
      <c r="O58" s="15">
        <f>VLOOKUP(N58,Select!D:H,5,FALSE)</f>
        <v>0</v>
      </c>
    </row>
    <row r="59" spans="1:15">
      <c r="A59" s="14">
        <v>607</v>
      </c>
      <c r="B59" s="1" t="s">
        <v>29</v>
      </c>
      <c r="C59" s="6">
        <f>VLOOKUP(B59,Select!A:H,8,FALSE)</f>
        <v>6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237</v>
      </c>
      <c r="I59" s="1">
        <v>3</v>
      </c>
      <c r="J59" s="1">
        <v>2</v>
      </c>
      <c r="K59" s="1">
        <v>2</v>
      </c>
      <c r="L59" s="1"/>
      <c r="M59" s="1" t="b">
        <v>1</v>
      </c>
      <c r="N59" s="1" t="s">
        <v>477</v>
      </c>
      <c r="O59" s="15">
        <f>VLOOKUP(N59,Select!D:H,5,FALSE)</f>
        <v>0</v>
      </c>
    </row>
    <row r="60" spans="1:15">
      <c r="A60" s="13">
        <v>608</v>
      </c>
      <c r="B60" s="5" t="s">
        <v>29</v>
      </c>
      <c r="C60" s="6">
        <f>VLOOKUP(B60,Select!A:H,8,FALSE)</f>
        <v>6</v>
      </c>
      <c r="D60" s="5" t="s">
        <v>10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5" t="s">
        <v>238</v>
      </c>
      <c r="I60" s="5">
        <v>6</v>
      </c>
      <c r="J60" s="5">
        <v>4</v>
      </c>
      <c r="K60" s="5">
        <v>4</v>
      </c>
      <c r="L60" s="5"/>
      <c r="M60" s="5" t="b">
        <v>1</v>
      </c>
      <c r="N60" s="5" t="s">
        <v>477</v>
      </c>
      <c r="O60" s="15">
        <f>VLOOKUP(N60,Select!D:H,5,FALSE)</f>
        <v>0</v>
      </c>
    </row>
    <row r="61" spans="1:15">
      <c r="A61" s="14">
        <v>700</v>
      </c>
      <c r="B61" s="1" t="s">
        <v>28</v>
      </c>
      <c r="C61" s="6">
        <f>VLOOKUP(B61,Select!A:H,8,FALSE)</f>
        <v>7</v>
      </c>
      <c r="D61" s="1" t="s">
        <v>10</v>
      </c>
      <c r="E61" s="6">
        <f>VLOOKUP(D61,Select!B:H,7,FALSE)</f>
        <v>0</v>
      </c>
      <c r="F61" s="1" t="s">
        <v>3</v>
      </c>
      <c r="G61" s="6">
        <f>VLOOKUP(F61,Select!C:H,6,FALSE)</f>
        <v>0</v>
      </c>
      <c r="H61" s="1" t="s">
        <v>81</v>
      </c>
      <c r="I61" s="1">
        <v>2</v>
      </c>
      <c r="J61" s="1">
        <v>2</v>
      </c>
      <c r="K61" s="1">
        <v>1</v>
      </c>
      <c r="L61" s="1"/>
      <c r="M61" s="1" t="b">
        <v>0</v>
      </c>
      <c r="N61" s="1" t="s">
        <v>477</v>
      </c>
      <c r="O61" s="15">
        <f>VLOOKUP(N61,Select!D:H,5,FALSE)</f>
        <v>0</v>
      </c>
    </row>
    <row r="62" spans="1:15">
      <c r="A62" s="13">
        <v>701</v>
      </c>
      <c r="B62" s="5" t="s">
        <v>28</v>
      </c>
      <c r="C62" s="6">
        <f>VLOOKUP(B62,Select!A:H,8,FALSE)</f>
        <v>7</v>
      </c>
      <c r="D62" s="5" t="s">
        <v>10</v>
      </c>
      <c r="E62" s="6">
        <f>VLOOKUP(D62,Select!B:H,7,FALSE)</f>
        <v>0</v>
      </c>
      <c r="F62" s="5" t="s">
        <v>3</v>
      </c>
      <c r="G62" s="6">
        <f>VLOOKUP(F62,Select!C:H,6,FALSE)</f>
        <v>0</v>
      </c>
      <c r="H62" s="5" t="s">
        <v>82</v>
      </c>
      <c r="I62" s="5">
        <v>3</v>
      </c>
      <c r="J62" s="5">
        <v>3</v>
      </c>
      <c r="K62" s="5">
        <v>2</v>
      </c>
      <c r="L62" s="5"/>
      <c r="M62" s="5" t="b">
        <v>0</v>
      </c>
      <c r="N62" s="5" t="s">
        <v>477</v>
      </c>
      <c r="O62" s="15">
        <f>VLOOKUP(N62,Select!D:H,5,FALSE)</f>
        <v>0</v>
      </c>
    </row>
    <row r="63" spans="1:15">
      <c r="A63" s="14">
        <v>702</v>
      </c>
      <c r="B63" s="1" t="s">
        <v>28</v>
      </c>
      <c r="C63" s="6">
        <f>VLOOKUP(B63,Select!A:H,8,FALSE)</f>
        <v>7</v>
      </c>
      <c r="D63" s="1" t="s">
        <v>10</v>
      </c>
      <c r="E63" s="6">
        <f>VLOOKUP(D63,Select!B:H,7,FALSE)</f>
        <v>0</v>
      </c>
      <c r="F63" s="1" t="s">
        <v>3</v>
      </c>
      <c r="G63" s="6">
        <f>VLOOKUP(F63,Select!C:H,6,FALSE)</f>
        <v>0</v>
      </c>
      <c r="H63" s="1" t="s">
        <v>83</v>
      </c>
      <c r="I63" s="1">
        <v>6</v>
      </c>
      <c r="J63" s="1">
        <v>4</v>
      </c>
      <c r="K63" s="1">
        <v>9</v>
      </c>
      <c r="L63" s="1"/>
      <c r="M63" s="1" t="b">
        <v>0</v>
      </c>
      <c r="N63" s="1" t="s">
        <v>477</v>
      </c>
      <c r="O63" s="15">
        <f>VLOOKUP(N63,Select!D:H,5,FALSE)</f>
        <v>0</v>
      </c>
    </row>
    <row r="64" spans="1:15">
      <c r="A64" s="13">
        <v>703</v>
      </c>
      <c r="B64" s="5" t="s">
        <v>28</v>
      </c>
      <c r="C64" s="6">
        <f>VLOOKUP(B64,Select!A:H,8,FALSE)</f>
        <v>7</v>
      </c>
      <c r="D64" s="5" t="s">
        <v>10</v>
      </c>
      <c r="E64" s="6">
        <f>VLOOKUP(D64,Select!B:H,7,FALSE)</f>
        <v>0</v>
      </c>
      <c r="F64" s="5" t="s">
        <v>23</v>
      </c>
      <c r="G64" s="6">
        <f>VLOOKUP(F64,Select!C:H,6,FALSE)</f>
        <v>1</v>
      </c>
      <c r="H64" s="5" t="s">
        <v>84</v>
      </c>
      <c r="I64" s="5">
        <v>4</v>
      </c>
      <c r="J64" s="5"/>
      <c r="K64" s="5"/>
      <c r="L64" s="5"/>
      <c r="M64" s="5" t="b">
        <v>0</v>
      </c>
      <c r="N64" s="5" t="s">
        <v>477</v>
      </c>
      <c r="O64" s="15">
        <f>VLOOKUP(N64,Select!D:H,5,FALSE)</f>
        <v>0</v>
      </c>
    </row>
    <row r="65" spans="1:15">
      <c r="A65" s="14">
        <v>704</v>
      </c>
      <c r="B65" s="1" t="s">
        <v>28</v>
      </c>
      <c r="C65" s="6">
        <f>VLOOKUP(B65,Select!A:H,8,FALSE)</f>
        <v>7</v>
      </c>
      <c r="D65" s="1" t="s">
        <v>36</v>
      </c>
      <c r="E65" s="6">
        <f>VLOOKUP(D65,Select!B:H,7,FALSE)</f>
        <v>1</v>
      </c>
      <c r="F65" s="1" t="s">
        <v>3</v>
      </c>
      <c r="G65" s="6">
        <f>VLOOKUP(F65,Select!C:H,6,FALSE)</f>
        <v>0</v>
      </c>
      <c r="H65" s="1" t="s">
        <v>85</v>
      </c>
      <c r="I65" s="1">
        <v>2</v>
      </c>
      <c r="J65" s="1">
        <v>1</v>
      </c>
      <c r="K65" s="1">
        <v>3</v>
      </c>
      <c r="L65" s="1"/>
      <c r="M65" s="1" t="b">
        <v>0</v>
      </c>
      <c r="N65" s="1" t="s">
        <v>477</v>
      </c>
      <c r="O65" s="15">
        <f>VLOOKUP(N65,Select!D:H,5,FALSE)</f>
        <v>0</v>
      </c>
    </row>
    <row r="66" spans="1:15">
      <c r="A66" s="13">
        <v>705</v>
      </c>
      <c r="B66" s="5" t="s">
        <v>28</v>
      </c>
      <c r="C66" s="6">
        <f>VLOOKUP(B66,Select!A:H,8,FALSE)</f>
        <v>7</v>
      </c>
      <c r="D66" s="5" t="s">
        <v>36</v>
      </c>
      <c r="E66" s="6">
        <f>VLOOKUP(D66,Select!B:H,7,FALSE)</f>
        <v>1</v>
      </c>
      <c r="F66" s="5" t="s">
        <v>3</v>
      </c>
      <c r="G66" s="6">
        <f>VLOOKUP(F66,Select!C:H,6,FALSE)</f>
        <v>0</v>
      </c>
      <c r="H66" s="5" t="s">
        <v>86</v>
      </c>
      <c r="I66" s="5">
        <v>5</v>
      </c>
      <c r="J66" s="5">
        <v>4</v>
      </c>
      <c r="K66" s="5">
        <v>4</v>
      </c>
      <c r="L66" s="5"/>
      <c r="M66" s="5" t="b">
        <v>0</v>
      </c>
      <c r="N66" s="5" t="s">
        <v>477</v>
      </c>
      <c r="O66" s="15">
        <f>VLOOKUP(N66,Select!D:H,5,FALSE)</f>
        <v>0</v>
      </c>
    </row>
    <row r="67" spans="1:15">
      <c r="A67" s="14">
        <v>706</v>
      </c>
      <c r="B67" s="1" t="s">
        <v>28</v>
      </c>
      <c r="C67" s="6">
        <f>VLOOKUP(B67,Select!A:H,8,FALSE)</f>
        <v>7</v>
      </c>
      <c r="D67" s="1" t="s">
        <v>36</v>
      </c>
      <c r="E67" s="6">
        <f>VLOOKUP(D67,Select!B:H,7,FALSE)</f>
        <v>1</v>
      </c>
      <c r="F67" s="1" t="s">
        <v>34</v>
      </c>
      <c r="G67" s="6">
        <f>VLOOKUP(F67,Select!C:H,6,FALSE)</f>
        <v>2</v>
      </c>
      <c r="H67" s="1" t="s">
        <v>1492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5">
        <f>VLOOKUP(N67,Select!D:H,5,FALSE)</f>
        <v>0</v>
      </c>
    </row>
    <row r="68" spans="1:15">
      <c r="A68" s="13">
        <v>707</v>
      </c>
      <c r="B68" s="5" t="s">
        <v>28</v>
      </c>
      <c r="C68" s="6">
        <f>VLOOKUP(B68,Select!A:H,8,FALSE)</f>
        <v>7</v>
      </c>
      <c r="D68" s="5" t="s">
        <v>10</v>
      </c>
      <c r="E68" s="6">
        <f>VLOOKUP(D68,Select!B:H,7,FALSE)</f>
        <v>0</v>
      </c>
      <c r="F68" s="5" t="s">
        <v>3</v>
      </c>
      <c r="G68" s="6">
        <f>VLOOKUP(F68,Select!C:H,6,FALSE)</f>
        <v>0</v>
      </c>
      <c r="H68" s="5" t="s">
        <v>1491</v>
      </c>
      <c r="I68" s="5">
        <v>0</v>
      </c>
      <c r="J68" s="5">
        <v>1</v>
      </c>
      <c r="K68" s="5">
        <v>1</v>
      </c>
      <c r="L68" s="5"/>
      <c r="M68" s="5" t="b">
        <v>1</v>
      </c>
      <c r="N68" s="5" t="s">
        <v>470</v>
      </c>
      <c r="O68" s="15">
        <f>VLOOKUP(N68,Select!D:H,5,FALSE)</f>
        <v>11</v>
      </c>
    </row>
    <row r="69" spans="1:15">
      <c r="A69" s="14">
        <v>708</v>
      </c>
      <c r="B69" s="1" t="s">
        <v>28</v>
      </c>
      <c r="C69" s="6">
        <f>VLOOKUP(B69,Select!A:H,8,FALSE)</f>
        <v>7</v>
      </c>
      <c r="D69" s="1" t="s">
        <v>10</v>
      </c>
      <c r="E69" s="6">
        <f>VLOOKUP(D69,Select!B:H,7,FALSE)</f>
        <v>0</v>
      </c>
      <c r="F69" s="1" t="s">
        <v>3</v>
      </c>
      <c r="G69" s="6">
        <f>VLOOKUP(F69,Select!C:H,6,FALSE)</f>
        <v>0</v>
      </c>
      <c r="H69" s="1" t="s">
        <v>1490</v>
      </c>
      <c r="I69" s="1">
        <v>1</v>
      </c>
      <c r="J69" s="1">
        <v>3</v>
      </c>
      <c r="K69" s="1">
        <v>3</v>
      </c>
      <c r="L69" s="1"/>
      <c r="M69" s="1" t="b">
        <v>1</v>
      </c>
      <c r="N69" s="1" t="s">
        <v>470</v>
      </c>
      <c r="O69" s="15">
        <f>VLOOKUP(N69,Select!D:H,5,FALSE)</f>
        <v>11</v>
      </c>
    </row>
    <row r="70" spans="1:15">
      <c r="A70" s="13">
        <v>709</v>
      </c>
      <c r="B70" s="5" t="s">
        <v>28</v>
      </c>
      <c r="C70" s="6">
        <f>VLOOKUP(B70,Select!A:H,8,FALSE)</f>
        <v>7</v>
      </c>
      <c r="D70" s="5" t="s">
        <v>10</v>
      </c>
      <c r="E70" s="6">
        <f>VLOOKUP(D70,Select!B:H,7,FALSE)</f>
        <v>0</v>
      </c>
      <c r="F70" s="5" t="s">
        <v>34</v>
      </c>
      <c r="G70" s="6">
        <f>VLOOKUP(F70,Select!C:H,6,FALSE)</f>
        <v>2</v>
      </c>
      <c r="H70" s="5" t="s">
        <v>1489</v>
      </c>
      <c r="I70" s="5">
        <v>1</v>
      </c>
      <c r="J70" s="5"/>
      <c r="K70" s="5"/>
      <c r="L70" s="5"/>
      <c r="M70" s="5" t="b">
        <v>1</v>
      </c>
      <c r="N70" s="5" t="s">
        <v>483</v>
      </c>
      <c r="O70" s="15">
        <f>VLOOKUP(N70,Select!D:H,5,FALSE)</f>
        <v>10</v>
      </c>
    </row>
    <row r="71" spans="1:15">
      <c r="A71" s="14">
        <v>710</v>
      </c>
      <c r="B71" s="1" t="s">
        <v>28</v>
      </c>
      <c r="C71" s="6">
        <f>VLOOKUP(B71,Select!A:H,8,FALSE)</f>
        <v>7</v>
      </c>
      <c r="D71" s="1" t="s">
        <v>10</v>
      </c>
      <c r="E71" s="6">
        <f>VLOOKUP(D71,Select!B:H,7,FALSE)</f>
        <v>0</v>
      </c>
      <c r="F71" s="1" t="s">
        <v>34</v>
      </c>
      <c r="G71" s="6">
        <f>VLOOKUP(F71,Select!C:H,6,FALSE)</f>
        <v>2</v>
      </c>
      <c r="H71" s="1" t="s">
        <v>1488</v>
      </c>
      <c r="I71" s="1">
        <v>1</v>
      </c>
      <c r="J71" s="1"/>
      <c r="K71" s="1"/>
      <c r="L71" s="1"/>
      <c r="M71" s="1" t="b">
        <v>1</v>
      </c>
      <c r="N71" s="1" t="s">
        <v>483</v>
      </c>
      <c r="O71" s="15">
        <f>VLOOKUP(N71,Select!D:H,5,FALSE)</f>
        <v>10</v>
      </c>
    </row>
    <row r="72" spans="1:15">
      <c r="A72" s="13">
        <v>711</v>
      </c>
      <c r="B72" s="5" t="s">
        <v>28</v>
      </c>
      <c r="C72" s="6">
        <f>VLOOKUP(B72,Select!A:H,8,FALSE)</f>
        <v>7</v>
      </c>
      <c r="D72" s="5" t="s">
        <v>36</v>
      </c>
      <c r="E72" s="6">
        <f>VLOOKUP(D72,Select!B:H,7,FALSE)</f>
        <v>1</v>
      </c>
      <c r="F72" s="5" t="s">
        <v>3</v>
      </c>
      <c r="G72" s="6">
        <f>VLOOKUP(F72,Select!C:H,6,FALSE)</f>
        <v>0</v>
      </c>
      <c r="H72" s="5" t="s">
        <v>1487</v>
      </c>
      <c r="I72" s="5">
        <v>3</v>
      </c>
      <c r="J72" s="5">
        <v>5</v>
      </c>
      <c r="K72" s="5">
        <v>1</v>
      </c>
      <c r="L72" s="5"/>
      <c r="M72" s="5" t="b">
        <v>1</v>
      </c>
      <c r="N72" s="5" t="s">
        <v>483</v>
      </c>
      <c r="O72" s="15">
        <f>VLOOKUP(N72,Select!D:H,5,FALSE)</f>
        <v>10</v>
      </c>
    </row>
    <row r="73" spans="1:15">
      <c r="A73" s="14">
        <v>712</v>
      </c>
      <c r="B73" s="1" t="s">
        <v>28</v>
      </c>
      <c r="C73" s="6">
        <f>VLOOKUP(B73,Select!A:H,8,FALSE)</f>
        <v>7</v>
      </c>
      <c r="D73" s="1" t="s">
        <v>36</v>
      </c>
      <c r="E73" s="6">
        <f>VLOOKUP(D73,Select!B:H,7,FALSE)</f>
        <v>1</v>
      </c>
      <c r="F73" s="1" t="s">
        <v>3</v>
      </c>
      <c r="G73" s="6">
        <f>VLOOKUP(F73,Select!C:H,6,FALSE)</f>
        <v>0</v>
      </c>
      <c r="H73" s="1" t="s">
        <v>1486</v>
      </c>
      <c r="I73" s="1">
        <v>3</v>
      </c>
      <c r="J73" s="1">
        <v>1</v>
      </c>
      <c r="K73" s="1">
        <v>5</v>
      </c>
      <c r="L73" s="1"/>
      <c r="M73" s="1" t="b">
        <v>1</v>
      </c>
      <c r="N73" s="1" t="s">
        <v>483</v>
      </c>
      <c r="O73" s="15">
        <f>VLOOKUP(N73,Select!D:H,5,FALSE)</f>
        <v>10</v>
      </c>
    </row>
    <row r="74" spans="1:15">
      <c r="A74" s="13">
        <v>713</v>
      </c>
      <c r="B74" s="5" t="s">
        <v>28</v>
      </c>
      <c r="C74" s="6">
        <f>VLOOKUP(B74,Select!A:H,8,FALSE)</f>
        <v>7</v>
      </c>
      <c r="D74" s="5" t="s">
        <v>21</v>
      </c>
      <c r="E74" s="6">
        <f>VLOOKUP(D74,Select!B:H,7,FALSE)</f>
        <v>2</v>
      </c>
      <c r="F74" s="5" t="s">
        <v>3</v>
      </c>
      <c r="G74" s="6">
        <f>VLOOKUP(F74,Select!C:H,6,FALSE)</f>
        <v>0</v>
      </c>
      <c r="H74" s="5" t="s">
        <v>1485</v>
      </c>
      <c r="I74" s="5">
        <v>5</v>
      </c>
      <c r="J74" s="5">
        <v>3</v>
      </c>
      <c r="K74" s="5">
        <v>5</v>
      </c>
      <c r="L74" s="5"/>
      <c r="M74" s="5" t="b">
        <v>1</v>
      </c>
      <c r="N74" s="5" t="s">
        <v>483</v>
      </c>
      <c r="O74" s="15">
        <f>VLOOKUP(N74,Select!D:H,5,FALSE)</f>
        <v>10</v>
      </c>
    </row>
    <row r="75" spans="1:15">
      <c r="A75" s="14">
        <v>714</v>
      </c>
      <c r="B75" s="1" t="s">
        <v>28</v>
      </c>
      <c r="C75" s="6">
        <f>VLOOKUP(B75,Select!A:H,8,FALSE)</f>
        <v>7</v>
      </c>
      <c r="D75" s="1" t="s">
        <v>21</v>
      </c>
      <c r="E75" s="6">
        <f>VLOOKUP(D75,Select!B:H,7,FALSE)</f>
        <v>2</v>
      </c>
      <c r="F75" s="1" t="s">
        <v>3</v>
      </c>
      <c r="G75" s="6">
        <f>VLOOKUP(F75,Select!C:H,6,FALSE)</f>
        <v>0</v>
      </c>
      <c r="H75" s="1" t="s">
        <v>1484</v>
      </c>
      <c r="I75" s="1">
        <v>5</v>
      </c>
      <c r="J75" s="1">
        <v>4</v>
      </c>
      <c r="K75" s="1">
        <v>4</v>
      </c>
      <c r="L75" s="1"/>
      <c r="M75" s="1" t="b">
        <v>1</v>
      </c>
      <c r="N75" s="1" t="s">
        <v>483</v>
      </c>
      <c r="O75" s="15">
        <f>VLOOKUP(N75,Select!D:H,5,FALSE)</f>
        <v>10</v>
      </c>
    </row>
    <row r="76" spans="1:15">
      <c r="A76" s="13">
        <v>715</v>
      </c>
      <c r="B76" s="19" t="s">
        <v>28</v>
      </c>
      <c r="C76" s="6">
        <f>VLOOKUP(B76,Select!A:H,8,FALSE)</f>
        <v>7</v>
      </c>
      <c r="D76" s="19" t="s">
        <v>21</v>
      </c>
      <c r="E76" s="6">
        <f>VLOOKUP(D76,Select!B:H,7,FALSE)</f>
        <v>2</v>
      </c>
      <c r="F76" s="19" t="s">
        <v>3</v>
      </c>
      <c r="G76" s="6">
        <f>VLOOKUP(F76,Select!C:H,6,FALSE)</f>
        <v>0</v>
      </c>
      <c r="H76" s="19" t="s">
        <v>1483</v>
      </c>
      <c r="I76" s="19">
        <v>5</v>
      </c>
      <c r="J76" s="19">
        <v>5</v>
      </c>
      <c r="K76" s="19">
        <v>3</v>
      </c>
      <c r="L76" s="19"/>
      <c r="M76" s="19" t="b">
        <v>1</v>
      </c>
      <c r="N76" s="19" t="s">
        <v>483</v>
      </c>
      <c r="O76" s="15">
        <f>VLOOKUP(N76,Select!D:H,5,FALSE)</f>
        <v>10</v>
      </c>
    </row>
    <row r="77" spans="1:15">
      <c r="A77" s="14">
        <v>716</v>
      </c>
      <c r="B77" s="1" t="s">
        <v>28</v>
      </c>
      <c r="C77" s="6">
        <f>VLOOKUP(B77,Select!A:H,8,FALSE)</f>
        <v>7</v>
      </c>
      <c r="D77" s="1" t="s">
        <v>30</v>
      </c>
      <c r="E77" s="6">
        <f>VLOOKUP(D77,Select!B:H,7,FALSE)</f>
        <v>3</v>
      </c>
      <c r="F77" s="1" t="s">
        <v>3</v>
      </c>
      <c r="G77" s="6">
        <f>VLOOKUP(F77,Select!C:H,6,FALSE)</f>
        <v>0</v>
      </c>
      <c r="H77" s="1" t="s">
        <v>1482</v>
      </c>
      <c r="I77" s="1">
        <v>10</v>
      </c>
      <c r="J77" s="1">
        <v>10</v>
      </c>
      <c r="K77" s="1">
        <v>10</v>
      </c>
      <c r="L77" s="1"/>
      <c r="M77" s="1" t="b">
        <v>1</v>
      </c>
      <c r="N77" s="1" t="s">
        <v>483</v>
      </c>
      <c r="O77" s="15">
        <f>VLOOKUP(N77,Select!D:H,5,FALSE)</f>
        <v>10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CF4F9D4-8AF3-4172-8381-08161864504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9EFA061-B758-48EC-B401-D0E9668C6F5A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861003A1-5DE6-4F52-88BA-F41543170DF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5429905F-556D-4A91-B177-18ABD9DB320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5BA3819-8762-4AD2-BD6E-66F535B01F7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6DB59D4-8847-4235-B1D8-A15E6EC4E76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27034A3-69E0-47AB-97E5-DAA7B4E8237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7F79043-F20D-4C7F-884C-5C242EC1BCCB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B1:B77</xm:sqref>
        </x14:conditionalFormatting>
        <x14:conditionalFormatting xmlns:xm="http://schemas.microsoft.com/office/excel/2006/main">
          <x14:cfRule type="containsText" priority="1" operator="containsText" id="{3CA3D706-4632-4E37-A9E9-90BA683856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BD3C6F10-25B3-4C15-AF14-55FE857193D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B2:B77</xm:sqref>
        </x14:conditionalFormatting>
        <x14:conditionalFormatting xmlns:xm="http://schemas.microsoft.com/office/excel/2006/main">
          <x14:cfRule type="containsText" priority="6" operator="containsText" id="{9B912ADB-6BAA-48A6-8E55-C3CB7EAAF0A0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1661D87C-0659-46C2-9078-15FF57AF6865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0F70F01-BA13-4C4D-8939-39C171288D04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5122510-921C-4F2B-A7D2-79DF6B0B275D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D1:D77</xm:sqref>
        </x14:conditionalFormatting>
        <x14:conditionalFormatting xmlns:xm="http://schemas.microsoft.com/office/excel/2006/main">
          <x14:cfRule type="containsText" priority="3" operator="containsText" id="{F73F2CC5-7FD7-49C6-A405-9AA8D749F977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DAC7F53-7916-4D27-956A-2F48124F10B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BEB20A74-A118-406E-8AC1-9BC3A55283B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147D840-E499-4433-804A-20F97B7FFF5F}">
          <x14:formula1>
            <xm:f>Select!$D:$D</xm:f>
          </x14:formula1>
          <xm:sqref>N2:N77</xm:sqref>
        </x14:dataValidation>
        <x14:dataValidation type="list" allowBlank="1" showInputMessage="1" showErrorMessage="1" xr:uid="{ACD636CD-335D-41CF-83F9-D09EB70348C2}">
          <x14:formula1>
            <xm:f>Select!$C:$C</xm:f>
          </x14:formula1>
          <xm:sqref>F2:F77</xm:sqref>
        </x14:dataValidation>
        <x14:dataValidation type="list" allowBlank="1" showInputMessage="1" showErrorMessage="1" xr:uid="{CED861EC-50D1-4CE0-A0AC-57FB5C581328}">
          <x14:formula1>
            <xm:f>Select!$B:$B</xm:f>
          </x14:formula1>
          <xm:sqref>D2:D77</xm:sqref>
        </x14:dataValidation>
        <x14:dataValidation type="list" allowBlank="1" showInputMessage="1" showErrorMessage="1" xr:uid="{C215578E-286B-4149-8540-ACD8A602212F}">
          <x14:formula1>
            <xm:f>Select!$A:$A</xm:f>
          </x14:formula1>
          <xm:sqref>B2:B77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68044-47B7-4783-A645-6BF54D5AC734}">
  <dimension ref="A1:O166"/>
  <sheetViews>
    <sheetView workbookViewId="0">
      <selection activeCell="H12" sqref="H1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6" t="s">
        <v>292</v>
      </c>
      <c r="B1" s="17" t="s">
        <v>293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7</v>
      </c>
      <c r="I1" s="17" t="s">
        <v>8</v>
      </c>
      <c r="J1" s="17" t="s">
        <v>9</v>
      </c>
      <c r="K1" s="17" t="s">
        <v>299</v>
      </c>
      <c r="L1" s="17" t="s">
        <v>1493</v>
      </c>
      <c r="M1" s="17" t="s">
        <v>301</v>
      </c>
      <c r="N1" s="17" t="s">
        <v>475</v>
      </c>
      <c r="O1" s="18" t="s">
        <v>476</v>
      </c>
    </row>
    <row r="2" spans="1:15">
      <c r="A2" s="14">
        <v>1000</v>
      </c>
      <c r="B2" s="1" t="s">
        <v>1</v>
      </c>
      <c r="C2" s="6">
        <f>VLOOKUP(B2,Select!A:H,8,FALSE)</f>
        <v>0</v>
      </c>
      <c r="D2" s="1" t="s">
        <v>10</v>
      </c>
      <c r="E2" s="6">
        <f>VLOOKUP(D2,Select!B:H,7,FALSE)</f>
        <v>0</v>
      </c>
      <c r="F2" s="1" t="s">
        <v>3</v>
      </c>
      <c r="G2" s="6">
        <f>VLOOKUP(F2,Select!C:H,6,FALSE)</f>
        <v>0</v>
      </c>
      <c r="H2" s="1" t="s">
        <v>87</v>
      </c>
      <c r="I2" s="1">
        <v>2</v>
      </c>
      <c r="J2" s="1">
        <v>2</v>
      </c>
      <c r="K2" s="1">
        <v>2</v>
      </c>
      <c r="L2" s="1"/>
      <c r="M2" s="1" t="b">
        <v>0</v>
      </c>
      <c r="N2" s="1" t="s">
        <v>477</v>
      </c>
      <c r="O2" s="15">
        <f>VLOOKUP(N2,Select!D:H,5,FALSE)</f>
        <v>0</v>
      </c>
    </row>
    <row r="3" spans="1:15">
      <c r="A3" s="14">
        <v>1001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 t="s">
        <v>88</v>
      </c>
      <c r="I3" s="1">
        <v>3</v>
      </c>
      <c r="J3" s="1">
        <v>3</v>
      </c>
      <c r="K3" s="1">
        <v>3</v>
      </c>
      <c r="L3" s="1"/>
      <c r="M3" s="1" t="b">
        <v>0</v>
      </c>
      <c r="N3" s="1" t="s">
        <v>477</v>
      </c>
      <c r="O3" s="15">
        <f>VLOOKUP(N3,Select!D:H,5,FALSE)</f>
        <v>0</v>
      </c>
    </row>
    <row r="4" spans="1:15">
      <c r="A4" s="14">
        <v>1002</v>
      </c>
      <c r="B4" s="1" t="s">
        <v>1</v>
      </c>
      <c r="C4" s="6">
        <f>VLOOKUP(B4,Select!A:H,8,FALSE)</f>
        <v>0</v>
      </c>
      <c r="D4" s="1" t="s">
        <v>10</v>
      </c>
      <c r="E4" s="6">
        <f>VLOOKUP(D4,Select!B:H,7,FALSE)</f>
        <v>0</v>
      </c>
      <c r="F4" s="1" t="s">
        <v>23</v>
      </c>
      <c r="G4" s="6">
        <f>VLOOKUP(F4,Select!C:H,6,FALSE)</f>
        <v>1</v>
      </c>
      <c r="H4" s="1" t="s">
        <v>89</v>
      </c>
      <c r="I4" s="1">
        <v>5</v>
      </c>
      <c r="J4" s="1"/>
      <c r="K4" s="1"/>
      <c r="L4" s="1"/>
      <c r="M4" s="1" t="b">
        <v>0</v>
      </c>
      <c r="N4" s="1" t="s">
        <v>477</v>
      </c>
      <c r="O4" s="15">
        <f>VLOOKUP(N4,Select!D:H,5,FALSE)</f>
        <v>0</v>
      </c>
    </row>
    <row r="5" spans="1:15">
      <c r="A5" s="14">
        <v>1003</v>
      </c>
      <c r="B5" s="5" t="s">
        <v>1</v>
      </c>
      <c r="C5" s="6">
        <f>VLOOKUP(B5,Select!A:H,8,FALSE)</f>
        <v>0</v>
      </c>
      <c r="D5" s="5" t="s">
        <v>36</v>
      </c>
      <c r="E5" s="6">
        <f>VLOOKUP(D5,Select!B:H,7,FALSE)</f>
        <v>1</v>
      </c>
      <c r="F5" s="5" t="s">
        <v>3</v>
      </c>
      <c r="G5" s="6">
        <f>VLOOKUP(F5,Select!C:H,6,FALSE)</f>
        <v>0</v>
      </c>
      <c r="H5" s="1" t="s">
        <v>90</v>
      </c>
      <c r="I5" s="1">
        <v>3</v>
      </c>
      <c r="J5" s="1">
        <v>1</v>
      </c>
      <c r="K5" s="1">
        <v>2</v>
      </c>
      <c r="L5" s="1"/>
      <c r="M5" s="1" t="b">
        <v>0</v>
      </c>
      <c r="N5" s="1" t="s">
        <v>477</v>
      </c>
      <c r="O5" s="15">
        <f>VLOOKUP(N5,Select!D:H,5,FALSE)</f>
        <v>0</v>
      </c>
    </row>
    <row r="6" spans="1:15">
      <c r="A6" s="14">
        <v>1004</v>
      </c>
      <c r="B6" s="1" t="s">
        <v>1</v>
      </c>
      <c r="C6" s="6">
        <f>VLOOKUP(B6,Select!A:H,8,FALSE)</f>
        <v>0</v>
      </c>
      <c r="D6" s="1" t="s">
        <v>36</v>
      </c>
      <c r="E6" s="6">
        <f>VLOOKUP(D6,Select!B:H,7,FALSE)</f>
        <v>1</v>
      </c>
      <c r="F6" s="1" t="s">
        <v>23</v>
      </c>
      <c r="G6" s="6">
        <f>VLOOKUP(F6,Select!C:H,6,FALSE)</f>
        <v>1</v>
      </c>
      <c r="H6" s="1" t="s">
        <v>91</v>
      </c>
      <c r="I6" s="1">
        <v>3</v>
      </c>
      <c r="J6" s="1"/>
      <c r="K6" s="1"/>
      <c r="L6" s="1"/>
      <c r="M6" s="1" t="b">
        <v>0</v>
      </c>
      <c r="N6" s="1" t="s">
        <v>477</v>
      </c>
      <c r="O6" s="15">
        <f>VLOOKUP(N6,Select!D:H,5,FALSE)</f>
        <v>0</v>
      </c>
    </row>
    <row r="7" spans="1:15">
      <c r="A7" s="14">
        <v>1005</v>
      </c>
      <c r="B7" s="5" t="s">
        <v>1</v>
      </c>
      <c r="C7" s="6">
        <f>VLOOKUP(B7,Select!A:H,8,FALSE)</f>
        <v>0</v>
      </c>
      <c r="D7" s="5" t="s">
        <v>21</v>
      </c>
      <c r="E7" s="6">
        <f>VLOOKUP(D7,Select!B:H,7,FALSE)</f>
        <v>2</v>
      </c>
      <c r="F7" s="5" t="s">
        <v>3</v>
      </c>
      <c r="G7" s="6">
        <f>VLOOKUP(F7,Select!C:H,6,FALSE)</f>
        <v>0</v>
      </c>
      <c r="H7" s="1" t="s">
        <v>92</v>
      </c>
      <c r="I7" s="1">
        <v>2</v>
      </c>
      <c r="J7" s="1">
        <v>2</v>
      </c>
      <c r="K7" s="1">
        <v>2</v>
      </c>
      <c r="L7" s="1"/>
      <c r="M7" s="1" t="b">
        <v>0</v>
      </c>
      <c r="N7" s="1" t="s">
        <v>477</v>
      </c>
      <c r="O7" s="15">
        <f>VLOOKUP(N7,Select!D:H,5,FALSE)</f>
        <v>0</v>
      </c>
    </row>
    <row r="8" spans="1:15">
      <c r="A8" s="14">
        <v>1006</v>
      </c>
      <c r="B8" s="1" t="s">
        <v>1</v>
      </c>
      <c r="C8" s="6">
        <f>VLOOKUP(B8,Select!A:H,8,FALSE)</f>
        <v>0</v>
      </c>
      <c r="D8" s="1" t="s">
        <v>21</v>
      </c>
      <c r="E8" s="6">
        <f>VLOOKUP(D8,Select!B:H,7,FALSE)</f>
        <v>2</v>
      </c>
      <c r="F8" s="1" t="s">
        <v>23</v>
      </c>
      <c r="G8" s="6">
        <f>VLOOKUP(F8,Select!C:H,6,FALSE)</f>
        <v>1</v>
      </c>
      <c r="H8" s="1" t="s">
        <v>93</v>
      </c>
      <c r="I8" s="1">
        <v>4</v>
      </c>
      <c r="J8" s="1"/>
      <c r="K8" s="1"/>
      <c r="L8" s="1"/>
      <c r="M8" s="1" t="b">
        <v>0</v>
      </c>
      <c r="N8" s="1" t="s">
        <v>477</v>
      </c>
      <c r="O8" s="15">
        <f>VLOOKUP(N8,Select!D:H,5,FALSE)</f>
        <v>0</v>
      </c>
    </row>
    <row r="9" spans="1:15">
      <c r="A9" s="14">
        <v>1007</v>
      </c>
      <c r="B9" s="5" t="s">
        <v>1</v>
      </c>
      <c r="C9" s="6">
        <f>VLOOKUP(B9,Select!A:H,8,FALSE)</f>
        <v>0</v>
      </c>
      <c r="D9" s="5" t="s">
        <v>30</v>
      </c>
      <c r="E9" s="6">
        <f>VLOOKUP(D9,Select!B:H,7,FALSE)</f>
        <v>3</v>
      </c>
      <c r="F9" s="5" t="s">
        <v>3</v>
      </c>
      <c r="G9" s="6">
        <f>VLOOKUP(F9,Select!C:H,6,FALSE)</f>
        <v>0</v>
      </c>
      <c r="H9" s="1" t="s">
        <v>94</v>
      </c>
      <c r="I9" s="1">
        <v>7</v>
      </c>
      <c r="J9" s="1">
        <v>4</v>
      </c>
      <c r="K9" s="1">
        <v>4</v>
      </c>
      <c r="L9" s="1"/>
      <c r="M9" s="1" t="b">
        <v>0</v>
      </c>
      <c r="N9" s="1" t="s">
        <v>477</v>
      </c>
      <c r="O9" s="15">
        <f>VLOOKUP(N9,Select!D:H,5,FALSE)</f>
        <v>0</v>
      </c>
    </row>
    <row r="10" spans="1:15">
      <c r="A10" s="14">
        <v>1008</v>
      </c>
      <c r="B10" s="1" t="s">
        <v>1</v>
      </c>
      <c r="C10" s="6">
        <f>VLOOKUP(B10,Select!A:H,8,FALSE)</f>
        <v>0</v>
      </c>
      <c r="D10" s="1" t="s">
        <v>14</v>
      </c>
      <c r="E10" s="6">
        <f>VLOOKUP(D10,Select!B:H,7,FALSE)</f>
        <v>3</v>
      </c>
      <c r="F10" s="1" t="s">
        <v>4</v>
      </c>
      <c r="G10" s="6">
        <f>VLOOKUP(F10,Select!C:H,6,FALSE)</f>
        <v>0</v>
      </c>
      <c r="H10" s="1" t="s">
        <v>95</v>
      </c>
      <c r="I10" s="1">
        <v>10</v>
      </c>
      <c r="J10" s="1">
        <v>10</v>
      </c>
      <c r="K10" s="1">
        <v>10</v>
      </c>
      <c r="L10" s="1"/>
      <c r="M10" s="1" t="b">
        <v>0</v>
      </c>
      <c r="N10" s="1" t="s">
        <v>477</v>
      </c>
      <c r="O10" s="15">
        <f>VLOOKUP(N10,Select!D:H,5,FALSE)</f>
        <v>0</v>
      </c>
    </row>
    <row r="11" spans="1:15">
      <c r="A11" s="14">
        <v>1009</v>
      </c>
      <c r="B11" s="5" t="s">
        <v>1</v>
      </c>
      <c r="C11" s="6">
        <f>VLOOKUP(B11,Select!A:H,8,FALSE)</f>
        <v>0</v>
      </c>
      <c r="D11" s="5" t="s">
        <v>10</v>
      </c>
      <c r="E11" s="6">
        <f>VLOOKUP(D11,Select!B:H,7,FALSE)</f>
        <v>0</v>
      </c>
      <c r="F11" s="5" t="s">
        <v>4</v>
      </c>
      <c r="G11" s="6">
        <f>VLOOKUP(F11,Select!C:H,6,FALSE)</f>
        <v>0</v>
      </c>
      <c r="H11" s="1" t="s">
        <v>262</v>
      </c>
      <c r="I11" s="1">
        <v>1</v>
      </c>
      <c r="J11" s="1">
        <v>1</v>
      </c>
      <c r="K11" s="1">
        <v>2</v>
      </c>
      <c r="L11" s="1"/>
      <c r="M11" s="1" t="b">
        <v>1</v>
      </c>
      <c r="N11" s="1" t="s">
        <v>477</v>
      </c>
      <c r="O11" s="15">
        <f>VLOOKUP(N11,Select!D:H,5,FALSE)</f>
        <v>0</v>
      </c>
    </row>
    <row r="12" spans="1:15">
      <c r="A12" s="14">
        <v>1009</v>
      </c>
      <c r="B12" s="1" t="s">
        <v>1</v>
      </c>
      <c r="C12" s="6">
        <f>VLOOKUP(B12,Select!A:H,8,FALSE)</f>
        <v>0</v>
      </c>
      <c r="D12" s="1" t="s">
        <v>14</v>
      </c>
      <c r="E12" s="6">
        <f>VLOOKUP(D12,Select!B:H,7,FALSE)</f>
        <v>3</v>
      </c>
      <c r="F12" s="1" t="s">
        <v>4</v>
      </c>
      <c r="G12" s="6">
        <f>VLOOKUP(F12,Select!C:H,6,FALSE)</f>
        <v>0</v>
      </c>
      <c r="H12" s="1" t="s">
        <v>258</v>
      </c>
      <c r="I12" s="1">
        <v>1</v>
      </c>
      <c r="J12" s="1">
        <v>13</v>
      </c>
      <c r="K12" s="1">
        <v>13</v>
      </c>
      <c r="L12" s="1"/>
      <c r="M12" s="1" t="b">
        <v>1</v>
      </c>
      <c r="N12" s="1" t="s">
        <v>477</v>
      </c>
      <c r="O12" s="15">
        <f>VLOOKUP(N12,Select!D:H,5,FALSE)</f>
        <v>0</v>
      </c>
    </row>
    <row r="13" spans="1:15">
      <c r="A13" s="14">
        <v>1010</v>
      </c>
      <c r="B13" s="5" t="s">
        <v>1</v>
      </c>
      <c r="C13" s="6">
        <f>VLOOKUP(B13,Select!A:H,8,FALSE)</f>
        <v>0</v>
      </c>
      <c r="D13" s="5" t="s">
        <v>14</v>
      </c>
      <c r="E13" s="6">
        <f>VLOOKUP(D13,Select!B:H,7,FALSE)</f>
        <v>3</v>
      </c>
      <c r="F13" s="5" t="s">
        <v>4</v>
      </c>
      <c r="G13" s="6">
        <f>VLOOKUP(F13,Select!C:H,6,FALSE)</f>
        <v>0</v>
      </c>
      <c r="H13" s="1" t="s">
        <v>259</v>
      </c>
      <c r="I13" s="1">
        <v>5</v>
      </c>
      <c r="J13" s="1">
        <v>9</v>
      </c>
      <c r="K13" s="1">
        <v>6</v>
      </c>
      <c r="L13" s="1"/>
      <c r="M13" s="1" t="b">
        <v>1</v>
      </c>
      <c r="N13" s="1" t="s">
        <v>477</v>
      </c>
      <c r="O13" s="15">
        <f>VLOOKUP(N13,Select!D:H,5,FALSE)</f>
        <v>0</v>
      </c>
    </row>
    <row r="14" spans="1:15">
      <c r="A14" s="14">
        <v>1011</v>
      </c>
      <c r="B14" s="1" t="s">
        <v>1</v>
      </c>
      <c r="C14" s="6">
        <f>VLOOKUP(B14,Select!A:H,8,FALSE)</f>
        <v>0</v>
      </c>
      <c r="D14" s="1" t="s">
        <v>14</v>
      </c>
      <c r="E14" s="6">
        <f>VLOOKUP(D14,Select!B:H,7,FALSE)</f>
        <v>3</v>
      </c>
      <c r="F14" s="1" t="s">
        <v>4</v>
      </c>
      <c r="G14" s="6">
        <f>VLOOKUP(F14,Select!C:H,6,FALSE)</f>
        <v>0</v>
      </c>
      <c r="H14" s="1" t="s">
        <v>260</v>
      </c>
      <c r="I14" s="1">
        <v>6</v>
      </c>
      <c r="J14" s="1">
        <v>10</v>
      </c>
      <c r="K14" s="1">
        <v>10</v>
      </c>
      <c r="L14" s="1"/>
      <c r="M14" s="1" t="b">
        <v>1</v>
      </c>
      <c r="N14" s="1" t="s">
        <v>477</v>
      </c>
      <c r="O14" s="15">
        <f>VLOOKUP(N14,Select!D:H,5,FALSE)</f>
        <v>0</v>
      </c>
    </row>
    <row r="15" spans="1:15">
      <c r="A15" s="14">
        <v>1012</v>
      </c>
      <c r="B15" s="5" t="s">
        <v>1</v>
      </c>
      <c r="C15" s="6">
        <f>VLOOKUP(B15,Select!A:H,8,FALSE)</f>
        <v>0</v>
      </c>
      <c r="D15" s="5" t="s">
        <v>14</v>
      </c>
      <c r="E15" s="6">
        <f>VLOOKUP(D15,Select!B:H,7,FALSE)</f>
        <v>3</v>
      </c>
      <c r="F15" s="5" t="s">
        <v>23</v>
      </c>
      <c r="G15" s="6">
        <f>VLOOKUP(F15,Select!C:H,6,FALSE)</f>
        <v>1</v>
      </c>
      <c r="H15" s="1" t="s">
        <v>261</v>
      </c>
      <c r="I15" s="1">
        <v>10</v>
      </c>
      <c r="J15" s="1"/>
      <c r="K15" s="1"/>
      <c r="L15" s="1"/>
      <c r="M15" s="1" t="b">
        <v>1</v>
      </c>
      <c r="N15" s="1" t="s">
        <v>477</v>
      </c>
      <c r="O15" s="15">
        <f>VLOOKUP(N15,Select!D:H,5,FALSE)</f>
        <v>0</v>
      </c>
    </row>
    <row r="16" spans="1:15">
      <c r="A16" s="14">
        <v>1100</v>
      </c>
      <c r="B16" s="1" t="s">
        <v>24</v>
      </c>
      <c r="C16" s="6">
        <f>VLOOKUP(B16,Select!A:H,8,FALSE)</f>
        <v>1</v>
      </c>
      <c r="D16" s="1" t="s">
        <v>10</v>
      </c>
      <c r="E16" s="6">
        <f>VLOOKUP(D16,Select!B:H,7,FALSE)</f>
        <v>0</v>
      </c>
      <c r="F16" s="1" t="s">
        <v>3</v>
      </c>
      <c r="G16" s="6">
        <f>VLOOKUP(F16,Select!C:H,6,FALSE)</f>
        <v>0</v>
      </c>
      <c r="H16" s="1" t="s">
        <v>96</v>
      </c>
      <c r="I16" s="1">
        <v>2</v>
      </c>
      <c r="J16" s="1">
        <v>2</v>
      </c>
      <c r="K16" s="1">
        <v>1</v>
      </c>
      <c r="L16" s="1"/>
      <c r="M16" s="1" t="b">
        <v>0</v>
      </c>
      <c r="N16" s="1" t="s">
        <v>477</v>
      </c>
      <c r="O16" s="15">
        <f>VLOOKUP(N16,Select!D:H,5,FALSE)</f>
        <v>0</v>
      </c>
    </row>
    <row r="17" spans="1:15">
      <c r="A17" s="14">
        <v>1101</v>
      </c>
      <c r="B17" s="5" t="s">
        <v>24</v>
      </c>
      <c r="C17" s="6">
        <f>VLOOKUP(B17,Select!A:H,8,FALSE)</f>
        <v>1</v>
      </c>
      <c r="D17" s="5" t="s">
        <v>10</v>
      </c>
      <c r="E17" s="6">
        <f>VLOOKUP(D17,Select!B:H,7,FALSE)</f>
        <v>0</v>
      </c>
      <c r="F17" s="5" t="s">
        <v>3</v>
      </c>
      <c r="G17" s="6">
        <f>VLOOKUP(F17,Select!C:H,6,FALSE)</f>
        <v>0</v>
      </c>
      <c r="H17" s="1" t="s">
        <v>97</v>
      </c>
      <c r="I17" s="1">
        <v>3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5">
        <f>VLOOKUP(N17,Select!D:H,5,FALSE)</f>
        <v>0</v>
      </c>
    </row>
    <row r="18" spans="1:15">
      <c r="A18" s="14">
        <v>1102</v>
      </c>
      <c r="B18" s="1" t="s">
        <v>24</v>
      </c>
      <c r="C18" s="6">
        <f>VLOOKUP(B18,Select!A:H,8,FALSE)</f>
        <v>1</v>
      </c>
      <c r="D18" s="1" t="s">
        <v>10</v>
      </c>
      <c r="E18" s="6">
        <f>VLOOKUP(D18,Select!B:H,7,FALSE)</f>
        <v>0</v>
      </c>
      <c r="F18" s="1" t="s">
        <v>3</v>
      </c>
      <c r="G18" s="6">
        <f>VLOOKUP(F18,Select!C:H,6,FALSE)</f>
        <v>0</v>
      </c>
      <c r="H18" s="1" t="s">
        <v>98</v>
      </c>
      <c r="I18" s="1">
        <v>3</v>
      </c>
      <c r="J18" s="1">
        <v>2</v>
      </c>
      <c r="K18" s="1">
        <v>1</v>
      </c>
      <c r="L18" s="1"/>
      <c r="M18" s="1" t="b">
        <v>0</v>
      </c>
      <c r="N18" s="1" t="s">
        <v>477</v>
      </c>
      <c r="O18" s="15">
        <f>VLOOKUP(N18,Select!D:H,5,FALSE)</f>
        <v>0</v>
      </c>
    </row>
    <row r="19" spans="1:15">
      <c r="A19" s="14">
        <v>1103</v>
      </c>
      <c r="B19" s="5" t="s">
        <v>24</v>
      </c>
      <c r="C19" s="6">
        <f>VLOOKUP(B19,Select!A:H,8,FALSE)</f>
        <v>1</v>
      </c>
      <c r="D19" s="5" t="s">
        <v>10</v>
      </c>
      <c r="E19" s="6">
        <f>VLOOKUP(D19,Select!B:H,7,FALSE)</f>
        <v>0</v>
      </c>
      <c r="F19" s="5" t="s">
        <v>3</v>
      </c>
      <c r="G19" s="6">
        <f>VLOOKUP(F19,Select!C:H,6,FALSE)</f>
        <v>0</v>
      </c>
      <c r="H19" s="1" t="s">
        <v>99</v>
      </c>
      <c r="I19" s="1">
        <v>4</v>
      </c>
      <c r="J19" s="1">
        <v>3</v>
      </c>
      <c r="K19" s="1">
        <v>3</v>
      </c>
      <c r="L19" s="1"/>
      <c r="M19" s="1" t="b">
        <v>0</v>
      </c>
      <c r="N19" s="1" t="s">
        <v>477</v>
      </c>
      <c r="O19" s="15">
        <f>VLOOKUP(N19,Select!D:H,5,FALSE)</f>
        <v>0</v>
      </c>
    </row>
    <row r="20" spans="1:15">
      <c r="A20" s="14">
        <v>1104</v>
      </c>
      <c r="B20" s="1" t="s">
        <v>24</v>
      </c>
      <c r="C20" s="6">
        <f>VLOOKUP(B20,Select!A:H,8,FALSE)</f>
        <v>1</v>
      </c>
      <c r="D20" s="1" t="s">
        <v>10</v>
      </c>
      <c r="E20" s="6">
        <f>VLOOKUP(D20,Select!B:H,7,FALSE)</f>
        <v>0</v>
      </c>
      <c r="F20" s="1" t="s">
        <v>3</v>
      </c>
      <c r="G20" s="6">
        <f>VLOOKUP(F20,Select!C:H,6,FALSE)</f>
        <v>0</v>
      </c>
      <c r="H20" s="1" t="s">
        <v>100</v>
      </c>
      <c r="I20" s="1">
        <v>8</v>
      </c>
      <c r="J20" s="1">
        <v>4</v>
      </c>
      <c r="K20" s="1">
        <v>4</v>
      </c>
      <c r="L20" s="1"/>
      <c r="M20" s="1" t="b">
        <v>0</v>
      </c>
      <c r="N20" s="1" t="s">
        <v>477</v>
      </c>
      <c r="O20" s="15">
        <f>VLOOKUP(N20,Select!D:H,5,FALSE)</f>
        <v>0</v>
      </c>
    </row>
    <row r="21" spans="1:15">
      <c r="A21" s="14">
        <v>1105</v>
      </c>
      <c r="B21" s="5" t="s">
        <v>24</v>
      </c>
      <c r="C21" s="6">
        <f>VLOOKUP(B21,Select!A:H,8,FALSE)</f>
        <v>1</v>
      </c>
      <c r="D21" s="5" t="s">
        <v>10</v>
      </c>
      <c r="E21" s="6">
        <f>VLOOKUP(D21,Select!B:H,7,FALSE)</f>
        <v>0</v>
      </c>
      <c r="F21" s="5" t="s">
        <v>23</v>
      </c>
      <c r="G21" s="6">
        <f>VLOOKUP(F21,Select!C:H,6,FALSE)</f>
        <v>1</v>
      </c>
      <c r="H21" s="1" t="s">
        <v>101</v>
      </c>
      <c r="I21" s="1">
        <v>1</v>
      </c>
      <c r="J21" s="1"/>
      <c r="K21" s="1"/>
      <c r="L21" s="1"/>
      <c r="M21" s="1" t="b">
        <v>0</v>
      </c>
      <c r="N21" s="1" t="s">
        <v>477</v>
      </c>
      <c r="O21" s="15">
        <f>VLOOKUP(N21,Select!D:H,5,FALSE)</f>
        <v>0</v>
      </c>
    </row>
    <row r="22" spans="1:15">
      <c r="A22" s="14">
        <v>1106</v>
      </c>
      <c r="B22" s="1" t="s">
        <v>24</v>
      </c>
      <c r="C22" s="6">
        <f>VLOOKUP(B22,Select!A:H,8,FALSE)</f>
        <v>1</v>
      </c>
      <c r="D22" s="1" t="s">
        <v>36</v>
      </c>
      <c r="E22" s="6">
        <f>VLOOKUP(D22,Select!B:H,7,FALSE)</f>
        <v>1</v>
      </c>
      <c r="F22" s="1" t="s">
        <v>3</v>
      </c>
      <c r="G22" s="6">
        <f>VLOOKUP(F22,Select!C:H,6,FALSE)</f>
        <v>0</v>
      </c>
      <c r="H22" s="1" t="s">
        <v>102</v>
      </c>
      <c r="I22" s="1">
        <v>1</v>
      </c>
      <c r="J22" s="1">
        <v>1</v>
      </c>
      <c r="K22" s="1">
        <v>1</v>
      </c>
      <c r="L22" s="1"/>
      <c r="M22" s="1" t="b">
        <v>0</v>
      </c>
      <c r="N22" s="1" t="s">
        <v>477</v>
      </c>
      <c r="O22" s="15">
        <f>VLOOKUP(N22,Select!D:H,5,FALSE)</f>
        <v>0</v>
      </c>
    </row>
    <row r="23" spans="1:15">
      <c r="A23" s="14">
        <v>1107</v>
      </c>
      <c r="B23" s="5" t="s">
        <v>24</v>
      </c>
      <c r="C23" s="6">
        <f>VLOOKUP(B23,Select!A:H,8,FALSE)</f>
        <v>1</v>
      </c>
      <c r="D23" s="5" t="s">
        <v>12</v>
      </c>
      <c r="E23" s="6">
        <f>VLOOKUP(D23,Select!B:H,7,FALSE)</f>
        <v>1</v>
      </c>
      <c r="F23" s="5" t="s">
        <v>3</v>
      </c>
      <c r="G23" s="6">
        <f>VLOOKUP(F23,Select!C:H,6,FALSE)</f>
        <v>0</v>
      </c>
      <c r="H23" s="1" t="s">
        <v>103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15">
        <f>VLOOKUP(N23,Select!D:H,5,FALSE)</f>
        <v>0</v>
      </c>
    </row>
    <row r="24" spans="1:15">
      <c r="A24" s="14">
        <v>1108</v>
      </c>
      <c r="B24" s="1" t="s">
        <v>24</v>
      </c>
      <c r="C24" s="6">
        <f>VLOOKUP(B24,Select!A:H,8,FALSE)</f>
        <v>1</v>
      </c>
      <c r="D24" s="1" t="s">
        <v>36</v>
      </c>
      <c r="E24" s="6">
        <f>VLOOKUP(D24,Select!B:H,7,FALSE)</f>
        <v>1</v>
      </c>
      <c r="F24" s="1" t="s">
        <v>3</v>
      </c>
      <c r="G24" s="6">
        <f>VLOOKUP(F24,Select!C:H,6,FALSE)</f>
        <v>0</v>
      </c>
      <c r="H24" s="1" t="s">
        <v>104</v>
      </c>
      <c r="I24" s="1">
        <v>7</v>
      </c>
      <c r="J24" s="1">
        <v>6</v>
      </c>
      <c r="K24" s="1">
        <v>8</v>
      </c>
      <c r="L24" s="1"/>
      <c r="M24" s="1" t="b">
        <v>0</v>
      </c>
      <c r="N24" s="1" t="s">
        <v>477</v>
      </c>
      <c r="O24" s="15">
        <f>VLOOKUP(N24,Select!D:H,5,FALSE)</f>
        <v>0</v>
      </c>
    </row>
    <row r="25" spans="1:15">
      <c r="A25" s="14">
        <v>1109</v>
      </c>
      <c r="B25" s="5" t="s">
        <v>24</v>
      </c>
      <c r="C25" s="6">
        <f>VLOOKUP(B25,Select!A:H,8,FALSE)</f>
        <v>1</v>
      </c>
      <c r="D25" s="5" t="s">
        <v>36</v>
      </c>
      <c r="E25" s="6">
        <f>VLOOKUP(D25,Select!B:H,7,FALSE)</f>
        <v>1</v>
      </c>
      <c r="F25" s="5" t="s">
        <v>23</v>
      </c>
      <c r="G25" s="6">
        <f>VLOOKUP(F25,Select!C:H,6,FALSE)</f>
        <v>1</v>
      </c>
      <c r="H25" s="1" t="s">
        <v>105</v>
      </c>
      <c r="I25" s="1">
        <v>3</v>
      </c>
      <c r="J25" s="1"/>
      <c r="K25" s="1"/>
      <c r="L25" s="1"/>
      <c r="M25" s="1" t="b">
        <v>0</v>
      </c>
      <c r="N25" s="1" t="s">
        <v>477</v>
      </c>
      <c r="O25" s="15">
        <f>VLOOKUP(N25,Select!D:H,5,FALSE)</f>
        <v>0</v>
      </c>
    </row>
    <row r="26" spans="1:15">
      <c r="A26" s="14">
        <v>1110</v>
      </c>
      <c r="B26" s="1" t="s">
        <v>24</v>
      </c>
      <c r="C26" s="6">
        <f>VLOOKUP(B26,Select!A:H,8,FALSE)</f>
        <v>1</v>
      </c>
      <c r="D26" s="1" t="s">
        <v>36</v>
      </c>
      <c r="E26" s="6">
        <f>VLOOKUP(D26,Select!B:H,7,FALSE)</f>
        <v>1</v>
      </c>
      <c r="F26" s="1" t="s">
        <v>34</v>
      </c>
      <c r="G26" s="6">
        <f>VLOOKUP(F26,Select!C:H,6,FALSE)</f>
        <v>2</v>
      </c>
      <c r="H26" s="1" t="s">
        <v>106</v>
      </c>
      <c r="I26" s="1">
        <v>2</v>
      </c>
      <c r="J26" s="1"/>
      <c r="K26" s="1"/>
      <c r="L26" s="1"/>
      <c r="M26" s="1" t="b">
        <v>0</v>
      </c>
      <c r="N26" s="1" t="s">
        <v>477</v>
      </c>
      <c r="O26" s="15">
        <f>VLOOKUP(N26,Select!D:H,5,FALSE)</f>
        <v>0</v>
      </c>
    </row>
    <row r="27" spans="1:15">
      <c r="A27" s="14">
        <v>1111</v>
      </c>
      <c r="B27" s="5" t="s">
        <v>24</v>
      </c>
      <c r="C27" s="6">
        <f>VLOOKUP(B27,Select!A:H,8,FALSE)</f>
        <v>1</v>
      </c>
      <c r="D27" s="5" t="s">
        <v>21</v>
      </c>
      <c r="E27" s="6">
        <f>VLOOKUP(D27,Select!B:H,7,FALSE)</f>
        <v>2</v>
      </c>
      <c r="F27" s="5" t="s">
        <v>3</v>
      </c>
      <c r="G27" s="6">
        <f>VLOOKUP(F27,Select!C:H,6,FALSE)</f>
        <v>0</v>
      </c>
      <c r="H27" s="1" t="s">
        <v>107</v>
      </c>
      <c r="I27" s="1">
        <v>2</v>
      </c>
      <c r="J27" s="1">
        <v>1</v>
      </c>
      <c r="K27" s="1">
        <v>3</v>
      </c>
      <c r="L27" s="1"/>
      <c r="M27" s="1" t="b">
        <v>0</v>
      </c>
      <c r="N27" s="1" t="s">
        <v>477</v>
      </c>
      <c r="O27" s="15">
        <f>VLOOKUP(N27,Select!D:H,5,FALSE)</f>
        <v>0</v>
      </c>
    </row>
    <row r="28" spans="1:15">
      <c r="A28" s="14">
        <v>1112</v>
      </c>
      <c r="B28" s="1" t="s">
        <v>24</v>
      </c>
      <c r="C28" s="6">
        <f>VLOOKUP(B28,Select!A:H,8,FALSE)</f>
        <v>1</v>
      </c>
      <c r="D28" s="1" t="s">
        <v>21</v>
      </c>
      <c r="E28" s="6">
        <f>VLOOKUP(D28,Select!B:H,7,FALSE)</f>
        <v>2</v>
      </c>
      <c r="F28" s="1" t="s">
        <v>3</v>
      </c>
      <c r="G28" s="6">
        <f>VLOOKUP(F28,Select!C:H,6,FALSE)</f>
        <v>0</v>
      </c>
      <c r="H28" s="1" t="s">
        <v>108</v>
      </c>
      <c r="I28" s="1">
        <v>3</v>
      </c>
      <c r="J28" s="1">
        <v>0</v>
      </c>
      <c r="K28" s="1">
        <v>2</v>
      </c>
      <c r="L28" s="1"/>
      <c r="M28" s="1" t="b">
        <v>0</v>
      </c>
      <c r="N28" s="1" t="s">
        <v>477</v>
      </c>
      <c r="O28" s="15">
        <f>VLOOKUP(N28,Select!D:H,5,FALSE)</f>
        <v>0</v>
      </c>
    </row>
    <row r="29" spans="1:15">
      <c r="A29" s="14">
        <v>1113</v>
      </c>
      <c r="B29" s="5" t="s">
        <v>24</v>
      </c>
      <c r="C29" s="6">
        <f>VLOOKUP(B29,Select!A:H,8,FALSE)</f>
        <v>1</v>
      </c>
      <c r="D29" s="5" t="s">
        <v>13</v>
      </c>
      <c r="E29" s="6">
        <f>VLOOKUP(D29,Select!B:H,7,FALSE)</f>
        <v>2</v>
      </c>
      <c r="F29" s="5" t="s">
        <v>3</v>
      </c>
      <c r="G29" s="6">
        <f>VLOOKUP(F29,Select!C:H,6,FALSE)</f>
        <v>0</v>
      </c>
      <c r="H29" s="1" t="s">
        <v>109</v>
      </c>
      <c r="I29" s="1">
        <v>5</v>
      </c>
      <c r="J29" s="1">
        <v>3</v>
      </c>
      <c r="K29" s="1">
        <v>3</v>
      </c>
      <c r="L29" s="1"/>
      <c r="M29" s="1" t="b">
        <v>0</v>
      </c>
      <c r="N29" s="1" t="s">
        <v>477</v>
      </c>
      <c r="O29" s="15">
        <f>VLOOKUP(N29,Select!D:H,5,FALSE)</f>
        <v>0</v>
      </c>
    </row>
    <row r="30" spans="1:15">
      <c r="A30" s="14">
        <v>1114</v>
      </c>
      <c r="B30" s="1" t="s">
        <v>24</v>
      </c>
      <c r="C30" s="6">
        <f>VLOOKUP(B30,Select!A:H,8,FALSE)</f>
        <v>1</v>
      </c>
      <c r="D30" s="1" t="s">
        <v>21</v>
      </c>
      <c r="E30" s="6">
        <f>VLOOKUP(D30,Select!B:H,7,FALSE)</f>
        <v>2</v>
      </c>
      <c r="F30" s="1" t="s">
        <v>3</v>
      </c>
      <c r="G30" s="6">
        <f>VLOOKUP(F30,Select!C:H,6,FALSE)</f>
        <v>0</v>
      </c>
      <c r="H30" s="1" t="s">
        <v>114</v>
      </c>
      <c r="I30" s="1">
        <v>8</v>
      </c>
      <c r="J30" s="1">
        <v>4</v>
      </c>
      <c r="K30" s="1">
        <v>4</v>
      </c>
      <c r="L30" s="1"/>
      <c r="M30" s="1" t="b">
        <v>0</v>
      </c>
      <c r="N30" s="1" t="s">
        <v>477</v>
      </c>
      <c r="O30" s="15">
        <f>VLOOKUP(N30,Select!D:H,5,FALSE)</f>
        <v>0</v>
      </c>
    </row>
    <row r="31" spans="1:15">
      <c r="A31" s="14">
        <v>1115</v>
      </c>
      <c r="B31" s="5" t="s">
        <v>24</v>
      </c>
      <c r="C31" s="6">
        <f>VLOOKUP(B31,Select!A:H,8,FALSE)</f>
        <v>1</v>
      </c>
      <c r="D31" s="5" t="s">
        <v>21</v>
      </c>
      <c r="E31" s="6">
        <f>VLOOKUP(D31,Select!B:H,7,FALSE)</f>
        <v>2</v>
      </c>
      <c r="F31" s="5" t="s">
        <v>34</v>
      </c>
      <c r="G31" s="6">
        <f>VLOOKUP(F31,Select!C:H,6,FALSE)</f>
        <v>2</v>
      </c>
      <c r="H31" s="1" t="s">
        <v>110</v>
      </c>
      <c r="I31" s="1">
        <v>3</v>
      </c>
      <c r="J31" s="1"/>
      <c r="K31" s="1"/>
      <c r="L31" s="1"/>
      <c r="M31" s="1" t="b">
        <v>0</v>
      </c>
      <c r="N31" s="1" t="s">
        <v>477</v>
      </c>
      <c r="O31" s="15">
        <f>VLOOKUP(N31,Select!D:H,5,FALSE)</f>
        <v>0</v>
      </c>
    </row>
    <row r="32" spans="1:15">
      <c r="A32" s="14">
        <v>1116</v>
      </c>
      <c r="B32" s="1" t="s">
        <v>24</v>
      </c>
      <c r="C32" s="6">
        <f>VLOOKUP(B32,Select!A:H,8,FALSE)</f>
        <v>1</v>
      </c>
      <c r="D32" s="1" t="s">
        <v>14</v>
      </c>
      <c r="E32" s="6">
        <f>VLOOKUP(D32,Select!B:H,7,FALSE)</f>
        <v>3</v>
      </c>
      <c r="F32" s="1" t="s">
        <v>3</v>
      </c>
      <c r="G32" s="6">
        <f>VLOOKUP(F32,Select!C:H,6,FALSE)</f>
        <v>0</v>
      </c>
      <c r="H32" s="1" t="s">
        <v>111</v>
      </c>
      <c r="I32" s="1">
        <v>3</v>
      </c>
      <c r="J32" s="1">
        <v>2</v>
      </c>
      <c r="K32" s="1">
        <v>2</v>
      </c>
      <c r="L32" s="1"/>
      <c r="M32" s="1" t="b">
        <v>0</v>
      </c>
      <c r="N32" s="1" t="s">
        <v>477</v>
      </c>
      <c r="O32" s="15">
        <f>VLOOKUP(N32,Select!D:H,5,FALSE)</f>
        <v>0</v>
      </c>
    </row>
    <row r="33" spans="1:15">
      <c r="A33" s="14">
        <v>1117</v>
      </c>
      <c r="B33" s="5" t="s">
        <v>24</v>
      </c>
      <c r="C33" s="6">
        <f>VLOOKUP(B33,Select!A:H,8,FALSE)</f>
        <v>1</v>
      </c>
      <c r="D33" s="5" t="s">
        <v>30</v>
      </c>
      <c r="E33" s="6">
        <f>VLOOKUP(D33,Select!B:H,7,FALSE)</f>
        <v>3</v>
      </c>
      <c r="F33" s="5" t="s">
        <v>3</v>
      </c>
      <c r="G33" s="6">
        <f>VLOOKUP(F33,Select!C:H,6,FALSE)</f>
        <v>0</v>
      </c>
      <c r="H33" s="1" t="s">
        <v>112</v>
      </c>
      <c r="I33" s="1">
        <v>6</v>
      </c>
      <c r="J33" s="1">
        <v>4</v>
      </c>
      <c r="K33" s="1">
        <v>4</v>
      </c>
      <c r="L33" s="1"/>
      <c r="M33" s="1" t="b">
        <v>0</v>
      </c>
      <c r="N33" s="1" t="s">
        <v>477</v>
      </c>
      <c r="O33" s="15">
        <f>VLOOKUP(N33,Select!D:H,5,FALSE)</f>
        <v>0</v>
      </c>
    </row>
    <row r="34" spans="1:15">
      <c r="A34" s="14">
        <v>1118</v>
      </c>
      <c r="B34" s="1" t="s">
        <v>24</v>
      </c>
      <c r="C34" s="6">
        <f>VLOOKUP(B34,Select!A:H,8,FALSE)</f>
        <v>1</v>
      </c>
      <c r="D34" s="1" t="s">
        <v>30</v>
      </c>
      <c r="E34" s="6">
        <f>VLOOKUP(D34,Select!B:H,7,FALSE)</f>
        <v>3</v>
      </c>
      <c r="F34" s="1" t="s">
        <v>3</v>
      </c>
      <c r="G34" s="6">
        <f>VLOOKUP(F34,Select!C:H,6,FALSE)</f>
        <v>0</v>
      </c>
      <c r="H34" s="1" t="s">
        <v>113</v>
      </c>
      <c r="I34" s="1">
        <v>9</v>
      </c>
      <c r="J34" s="1">
        <v>6</v>
      </c>
      <c r="K34" s="1">
        <v>6</v>
      </c>
      <c r="L34" s="1"/>
      <c r="M34" s="1" t="b">
        <v>0</v>
      </c>
      <c r="N34" s="1" t="s">
        <v>477</v>
      </c>
      <c r="O34" s="15">
        <f>VLOOKUP(N34,Select!D:H,5,FALSE)</f>
        <v>0</v>
      </c>
    </row>
    <row r="35" spans="1:15">
      <c r="A35" s="14">
        <v>1119</v>
      </c>
      <c r="B35" s="5" t="s">
        <v>24</v>
      </c>
      <c r="C35" s="6">
        <f>VLOOKUP(B35,Select!A:H,8,FALSE)</f>
        <v>1</v>
      </c>
      <c r="D35" s="5" t="s">
        <v>10</v>
      </c>
      <c r="E35" s="6">
        <f>VLOOKUP(D35,Select!B:H,7,FALSE)</f>
        <v>0</v>
      </c>
      <c r="F35" s="5" t="s">
        <v>23</v>
      </c>
      <c r="G35" s="6">
        <f>VLOOKUP(F35,Select!C:H,6,FALSE)</f>
        <v>1</v>
      </c>
      <c r="H35" s="1" t="s">
        <v>240</v>
      </c>
      <c r="I35" s="1">
        <v>0</v>
      </c>
      <c r="J35" s="1"/>
      <c r="K35" s="1"/>
      <c r="L35" s="1"/>
      <c r="M35" s="1" t="b">
        <v>1</v>
      </c>
      <c r="N35" s="1" t="s">
        <v>477</v>
      </c>
      <c r="O35" s="15">
        <f>VLOOKUP(N35,Select!D:H,5,FALSE)</f>
        <v>0</v>
      </c>
    </row>
    <row r="36" spans="1:15">
      <c r="A36" s="14">
        <v>1120</v>
      </c>
      <c r="B36" s="1" t="s">
        <v>24</v>
      </c>
      <c r="C36" s="6">
        <f>VLOOKUP(B36,Select!A:H,8,FALSE)</f>
        <v>1</v>
      </c>
      <c r="D36" s="1" t="s">
        <v>30</v>
      </c>
      <c r="E36" s="6">
        <f>VLOOKUP(D36,Select!B:H,7,FALSE)</f>
        <v>3</v>
      </c>
      <c r="F36" s="1" t="s">
        <v>23</v>
      </c>
      <c r="G36" s="6">
        <f>VLOOKUP(F36,Select!C:H,6,FALSE)</f>
        <v>1</v>
      </c>
      <c r="H36" s="1" t="s">
        <v>241</v>
      </c>
      <c r="I36" s="1">
        <v>1</v>
      </c>
      <c r="J36" s="1"/>
      <c r="K36" s="1"/>
      <c r="L36" s="1"/>
      <c r="M36" s="1" t="b">
        <v>1</v>
      </c>
      <c r="N36" s="1" t="s">
        <v>477</v>
      </c>
      <c r="O36" s="15">
        <f>VLOOKUP(N36,Select!D:H,5,FALSE)</f>
        <v>0</v>
      </c>
    </row>
    <row r="37" spans="1:15">
      <c r="A37" s="14">
        <v>1200</v>
      </c>
      <c r="B37" s="5" t="s">
        <v>25</v>
      </c>
      <c r="C37" s="6">
        <f>VLOOKUP(B37,Select!A:H,8,FALSE)</f>
        <v>2</v>
      </c>
      <c r="D37" s="5" t="s">
        <v>10</v>
      </c>
      <c r="E37" s="6">
        <f>VLOOKUP(D37,Select!B:H,7,FALSE)</f>
        <v>0</v>
      </c>
      <c r="F37" s="5" t="s">
        <v>3</v>
      </c>
      <c r="G37" s="6">
        <f>VLOOKUP(F37,Select!C:H,6,FALSE)</f>
        <v>0</v>
      </c>
      <c r="H37" s="1" t="s">
        <v>115</v>
      </c>
      <c r="I37" s="1">
        <v>2</v>
      </c>
      <c r="J37" s="1">
        <v>2</v>
      </c>
      <c r="K37" s="1">
        <v>1</v>
      </c>
      <c r="L37" s="1"/>
      <c r="M37" s="1" t="b">
        <v>0</v>
      </c>
      <c r="N37" s="1" t="s">
        <v>477</v>
      </c>
      <c r="O37" s="15">
        <f>VLOOKUP(N37,Select!D:H,5,FALSE)</f>
        <v>0</v>
      </c>
    </row>
    <row r="38" spans="1:15">
      <c r="A38" s="14">
        <v>1201</v>
      </c>
      <c r="B38" s="1" t="s">
        <v>25</v>
      </c>
      <c r="C38" s="6">
        <f>VLOOKUP(B38,Select!A:H,8,FALSE)</f>
        <v>2</v>
      </c>
      <c r="D38" s="1" t="s">
        <v>10</v>
      </c>
      <c r="E38" s="6">
        <f>VLOOKUP(D38,Select!B:H,7,FALSE)</f>
        <v>0</v>
      </c>
      <c r="F38" s="1" t="s">
        <v>3</v>
      </c>
      <c r="G38" s="6">
        <f>VLOOKUP(F38,Select!C:H,6,FALSE)</f>
        <v>0</v>
      </c>
      <c r="H38" s="1" t="s">
        <v>116</v>
      </c>
      <c r="I38" s="1">
        <v>3</v>
      </c>
      <c r="J38" s="1">
        <v>2</v>
      </c>
      <c r="K38" s="1">
        <v>2</v>
      </c>
      <c r="L38" s="1"/>
      <c r="M38" s="1" t="b">
        <v>0</v>
      </c>
      <c r="N38" s="1" t="s">
        <v>477</v>
      </c>
      <c r="O38" s="15">
        <f>VLOOKUP(N38,Select!D:H,5,FALSE)</f>
        <v>0</v>
      </c>
    </row>
    <row r="39" spans="1:15">
      <c r="A39" s="14">
        <v>1202</v>
      </c>
      <c r="B39" s="5" t="s">
        <v>25</v>
      </c>
      <c r="C39" s="6">
        <f>VLOOKUP(B39,Select!A:H,8,FALSE)</f>
        <v>2</v>
      </c>
      <c r="D39" s="5" t="s">
        <v>10</v>
      </c>
      <c r="E39" s="6">
        <f>VLOOKUP(D39,Select!B:H,7,FALSE)</f>
        <v>0</v>
      </c>
      <c r="F39" s="5" t="s">
        <v>3</v>
      </c>
      <c r="G39" s="6">
        <f>VLOOKUP(F39,Select!C:H,6,FALSE)</f>
        <v>0</v>
      </c>
      <c r="H39" s="1" t="s">
        <v>117</v>
      </c>
      <c r="I39" s="1">
        <v>3</v>
      </c>
      <c r="J39" s="1">
        <v>1</v>
      </c>
      <c r="K39" s="1">
        <v>2</v>
      </c>
      <c r="L39" s="1"/>
      <c r="M39" s="1" t="b">
        <v>0</v>
      </c>
      <c r="N39" s="1" t="s">
        <v>480</v>
      </c>
      <c r="O39" s="15">
        <f>VLOOKUP(N39,Select!D:H,5,FALSE)</f>
        <v>2</v>
      </c>
    </row>
    <row r="40" spans="1:15">
      <c r="A40" s="14">
        <v>1203</v>
      </c>
      <c r="B40" s="1" t="s">
        <v>25</v>
      </c>
      <c r="C40" s="6">
        <f>VLOOKUP(B40,Select!A:H,8,FALSE)</f>
        <v>2</v>
      </c>
      <c r="D40" s="1" t="s">
        <v>10</v>
      </c>
      <c r="E40" s="6">
        <f>VLOOKUP(D40,Select!B:H,7,FALSE)</f>
        <v>0</v>
      </c>
      <c r="F40" s="1" t="s">
        <v>3</v>
      </c>
      <c r="G40" s="6">
        <f>VLOOKUP(F40,Select!C:H,6,FALSE)</f>
        <v>0</v>
      </c>
      <c r="H40" s="1" t="s">
        <v>118</v>
      </c>
      <c r="I40" s="1">
        <v>3</v>
      </c>
      <c r="J40" s="1">
        <v>4</v>
      </c>
      <c r="K40" s="1">
        <v>2</v>
      </c>
      <c r="L40" s="1"/>
      <c r="M40" s="1" t="b">
        <v>0</v>
      </c>
      <c r="N40" s="1" t="s">
        <v>477</v>
      </c>
      <c r="O40" s="15">
        <f>VLOOKUP(N40,Select!D:H,5,FALSE)</f>
        <v>0</v>
      </c>
    </row>
    <row r="41" spans="1:15">
      <c r="A41" s="14">
        <v>1204</v>
      </c>
      <c r="B41" s="5" t="s">
        <v>25</v>
      </c>
      <c r="C41" s="6">
        <f>VLOOKUP(B41,Select!A:H,8,FALSE)</f>
        <v>2</v>
      </c>
      <c r="D41" s="5" t="s">
        <v>10</v>
      </c>
      <c r="E41" s="6">
        <f>VLOOKUP(D41,Select!B:H,7,FALSE)</f>
        <v>0</v>
      </c>
      <c r="F41" s="5" t="s">
        <v>3</v>
      </c>
      <c r="G41" s="6">
        <f>VLOOKUP(F41,Select!C:H,6,FALSE)</f>
        <v>0</v>
      </c>
      <c r="H41" s="1" t="s">
        <v>119</v>
      </c>
      <c r="I41" s="1">
        <v>6</v>
      </c>
      <c r="J41" s="1">
        <v>4</v>
      </c>
      <c r="K41" s="1">
        <v>6</v>
      </c>
      <c r="L41" s="1"/>
      <c r="M41" s="1" t="b">
        <v>0</v>
      </c>
      <c r="N41" s="1" t="s">
        <v>477</v>
      </c>
      <c r="O41" s="15">
        <f>VLOOKUP(N41,Select!D:H,5,FALSE)</f>
        <v>0</v>
      </c>
    </row>
    <row r="42" spans="1:15">
      <c r="A42" s="14">
        <v>1205</v>
      </c>
      <c r="B42" s="1" t="s">
        <v>25</v>
      </c>
      <c r="C42" s="6">
        <f>VLOOKUP(B42,Select!A:H,8,FALSE)</f>
        <v>2</v>
      </c>
      <c r="D42" s="1" t="s">
        <v>10</v>
      </c>
      <c r="E42" s="6">
        <f>VLOOKUP(D42,Select!B:H,7,FALSE)</f>
        <v>0</v>
      </c>
      <c r="F42" s="1" t="s">
        <v>23</v>
      </c>
      <c r="G42" s="6">
        <f>VLOOKUP(F42,Select!C:H,6,FALSE)</f>
        <v>1</v>
      </c>
      <c r="H42" s="1" t="s">
        <v>120</v>
      </c>
      <c r="I42" s="1">
        <v>4</v>
      </c>
      <c r="J42" s="1"/>
      <c r="K42" s="1"/>
      <c r="L42" s="1"/>
      <c r="M42" s="1" t="b">
        <v>0</v>
      </c>
      <c r="N42" s="1" t="s">
        <v>477</v>
      </c>
      <c r="O42" s="15">
        <f>VLOOKUP(N42,Select!D:H,5,FALSE)</f>
        <v>0</v>
      </c>
    </row>
    <row r="43" spans="1:15">
      <c r="A43" s="14">
        <v>1206</v>
      </c>
      <c r="B43" s="5" t="s">
        <v>25</v>
      </c>
      <c r="C43" s="6">
        <f>VLOOKUP(B43,Select!A:H,8,FALSE)</f>
        <v>2</v>
      </c>
      <c r="D43" s="5" t="s">
        <v>36</v>
      </c>
      <c r="E43" s="6">
        <f>VLOOKUP(D43,Select!B:H,7,FALSE)</f>
        <v>1</v>
      </c>
      <c r="F43" s="5" t="s">
        <v>3</v>
      </c>
      <c r="G43" s="6">
        <f>VLOOKUP(F43,Select!C:H,6,FALSE)</f>
        <v>0</v>
      </c>
      <c r="H43" s="1" t="s">
        <v>121</v>
      </c>
      <c r="I43" s="1">
        <v>1</v>
      </c>
      <c r="J43" s="1">
        <v>1</v>
      </c>
      <c r="K43" s="1">
        <v>1</v>
      </c>
      <c r="L43" s="1"/>
      <c r="M43" s="1" t="b">
        <v>0</v>
      </c>
      <c r="N43" s="1" t="s">
        <v>480</v>
      </c>
      <c r="O43" s="15">
        <f>VLOOKUP(N43,Select!D:H,5,FALSE)</f>
        <v>2</v>
      </c>
    </row>
    <row r="44" spans="1:15">
      <c r="A44" s="14">
        <v>1207</v>
      </c>
      <c r="B44" s="1" t="s">
        <v>25</v>
      </c>
      <c r="C44" s="6">
        <f>VLOOKUP(B44,Select!A:H,8,FALSE)</f>
        <v>2</v>
      </c>
      <c r="D44" s="1" t="s">
        <v>36</v>
      </c>
      <c r="E44" s="6">
        <f>VLOOKUP(D44,Select!B:H,7,FALSE)</f>
        <v>1</v>
      </c>
      <c r="F44" s="1" t="s">
        <v>3</v>
      </c>
      <c r="G44" s="6">
        <f>VLOOKUP(F44,Select!C:H,6,FALSE)</f>
        <v>0</v>
      </c>
      <c r="H44" s="1" t="s">
        <v>122</v>
      </c>
      <c r="I44" s="1">
        <v>2</v>
      </c>
      <c r="J44" s="1">
        <v>1</v>
      </c>
      <c r="K44" s="1">
        <v>2</v>
      </c>
      <c r="L44" s="1"/>
      <c r="M44" s="1" t="b">
        <v>0</v>
      </c>
      <c r="N44" s="1" t="s">
        <v>480</v>
      </c>
      <c r="O44" s="15">
        <f>VLOOKUP(N44,Select!D:H,5,FALSE)</f>
        <v>2</v>
      </c>
    </row>
    <row r="45" spans="1:15">
      <c r="A45" s="14">
        <v>1208</v>
      </c>
      <c r="B45" s="5" t="s">
        <v>25</v>
      </c>
      <c r="C45" s="6">
        <f>VLOOKUP(B45,Select!A:H,8,FALSE)</f>
        <v>2</v>
      </c>
      <c r="D45" s="5" t="s">
        <v>12</v>
      </c>
      <c r="E45" s="6">
        <f>VLOOKUP(D45,Select!B:H,7,FALSE)</f>
        <v>1</v>
      </c>
      <c r="F45" s="5" t="s">
        <v>3</v>
      </c>
      <c r="G45" s="6">
        <f>VLOOKUP(F45,Select!C:H,6,FALSE)</f>
        <v>0</v>
      </c>
      <c r="H45" s="1" t="s">
        <v>123</v>
      </c>
      <c r="I45" s="1">
        <v>2</v>
      </c>
      <c r="J45" s="1">
        <v>2</v>
      </c>
      <c r="K45" s="1">
        <v>1</v>
      </c>
      <c r="L45" s="1"/>
      <c r="M45" s="1" t="b">
        <v>0</v>
      </c>
      <c r="N45" s="1" t="s">
        <v>477</v>
      </c>
      <c r="O45" s="15">
        <f>VLOOKUP(N45,Select!D:H,5,FALSE)</f>
        <v>0</v>
      </c>
    </row>
    <row r="46" spans="1:15">
      <c r="A46" s="14">
        <v>1209</v>
      </c>
      <c r="B46" s="1" t="s">
        <v>25</v>
      </c>
      <c r="C46" s="6">
        <f>VLOOKUP(B46,Select!A:H,8,FALSE)</f>
        <v>2</v>
      </c>
      <c r="D46" s="1" t="s">
        <v>36</v>
      </c>
      <c r="E46" s="6">
        <f>VLOOKUP(D46,Select!B:H,7,FALSE)</f>
        <v>1</v>
      </c>
      <c r="F46" s="1" t="s">
        <v>3</v>
      </c>
      <c r="G46" s="6">
        <f>VLOOKUP(F46,Select!C:H,6,FALSE)</f>
        <v>0</v>
      </c>
      <c r="H46" s="1" t="s">
        <v>124</v>
      </c>
      <c r="I46" s="1">
        <v>5</v>
      </c>
      <c r="J46" s="1">
        <v>1</v>
      </c>
      <c r="K46" s="1">
        <v>3</v>
      </c>
      <c r="L46" s="1"/>
      <c r="M46" s="1" t="b">
        <v>0</v>
      </c>
      <c r="N46" s="1" t="s">
        <v>480</v>
      </c>
      <c r="O46" s="15">
        <f>VLOOKUP(N46,Select!D:H,5,FALSE)</f>
        <v>2</v>
      </c>
    </row>
    <row r="47" spans="1:15">
      <c r="A47" s="14">
        <v>1210</v>
      </c>
      <c r="B47" s="5" t="s">
        <v>25</v>
      </c>
      <c r="C47" s="6">
        <f>VLOOKUP(B47,Select!A:H,8,FALSE)</f>
        <v>2</v>
      </c>
      <c r="D47" s="5" t="s">
        <v>36</v>
      </c>
      <c r="E47" s="6">
        <f>VLOOKUP(D47,Select!B:H,7,FALSE)</f>
        <v>1</v>
      </c>
      <c r="F47" s="5" t="s">
        <v>23</v>
      </c>
      <c r="G47" s="6">
        <f>VLOOKUP(F47,Select!C:H,6,FALSE)</f>
        <v>1</v>
      </c>
      <c r="H47" s="1" t="s">
        <v>125</v>
      </c>
      <c r="I47" s="1">
        <v>3</v>
      </c>
      <c r="J47" s="1"/>
      <c r="K47" s="1"/>
      <c r="L47" s="1"/>
      <c r="M47" s="1" t="b">
        <v>0</v>
      </c>
      <c r="N47" s="1" t="s">
        <v>477</v>
      </c>
      <c r="O47" s="15">
        <f>VLOOKUP(N47,Select!D:H,5,FALSE)</f>
        <v>0</v>
      </c>
    </row>
    <row r="48" spans="1:15">
      <c r="A48" s="14">
        <v>1211</v>
      </c>
      <c r="B48" s="1" t="s">
        <v>25</v>
      </c>
      <c r="C48" s="6">
        <f>VLOOKUP(B48,Select!A:H,8,FALSE)</f>
        <v>2</v>
      </c>
      <c r="D48" s="1" t="s">
        <v>13</v>
      </c>
      <c r="E48" s="6">
        <f>VLOOKUP(D48,Select!B:H,7,FALSE)</f>
        <v>2</v>
      </c>
      <c r="F48" s="1" t="s">
        <v>3</v>
      </c>
      <c r="G48" s="6">
        <f>VLOOKUP(F48,Select!C:H,6,FALSE)</f>
        <v>0</v>
      </c>
      <c r="H48" s="1" t="s">
        <v>126</v>
      </c>
      <c r="I48" s="1">
        <v>3</v>
      </c>
      <c r="J48" s="1">
        <v>2</v>
      </c>
      <c r="K48" s="1">
        <v>1</v>
      </c>
      <c r="L48" s="1"/>
      <c r="M48" s="1" t="b">
        <v>0</v>
      </c>
      <c r="N48" s="1" t="s">
        <v>477</v>
      </c>
      <c r="O48" s="15">
        <f>VLOOKUP(N48,Select!D:H,5,FALSE)</f>
        <v>0</v>
      </c>
    </row>
    <row r="49" spans="1:15">
      <c r="A49" s="14">
        <v>1212</v>
      </c>
      <c r="B49" s="5" t="s">
        <v>25</v>
      </c>
      <c r="C49" s="6">
        <f>VLOOKUP(B49,Select!A:H,8,FALSE)</f>
        <v>2</v>
      </c>
      <c r="D49" s="5" t="s">
        <v>21</v>
      </c>
      <c r="E49" s="6">
        <f>VLOOKUP(D49,Select!B:H,7,FALSE)</f>
        <v>2</v>
      </c>
      <c r="F49" s="5" t="s">
        <v>3</v>
      </c>
      <c r="G49" s="6">
        <f>VLOOKUP(F49,Select!C:H,6,FALSE)</f>
        <v>0</v>
      </c>
      <c r="H49" s="1" t="s">
        <v>127</v>
      </c>
      <c r="I49" s="1">
        <v>4</v>
      </c>
      <c r="J49" s="1">
        <v>4</v>
      </c>
      <c r="K49" s="1">
        <v>4</v>
      </c>
      <c r="L49" s="1"/>
      <c r="M49" s="1" t="b">
        <v>0</v>
      </c>
      <c r="N49" s="1" t="s">
        <v>477</v>
      </c>
      <c r="O49" s="15">
        <f>VLOOKUP(N49,Select!D:H,5,FALSE)</f>
        <v>0</v>
      </c>
    </row>
    <row r="50" spans="1:15">
      <c r="A50" s="14">
        <v>1213</v>
      </c>
      <c r="B50" s="1" t="s">
        <v>25</v>
      </c>
      <c r="C50" s="6">
        <f>VLOOKUP(B50,Select!A:H,8,FALSE)</f>
        <v>2</v>
      </c>
      <c r="D50" s="1" t="s">
        <v>13</v>
      </c>
      <c r="E50" s="6">
        <f>VLOOKUP(D50,Select!B:H,7,FALSE)</f>
        <v>2</v>
      </c>
      <c r="F50" s="1" t="s">
        <v>3</v>
      </c>
      <c r="G50" s="6">
        <f>VLOOKUP(F50,Select!C:H,6,FALSE)</f>
        <v>0</v>
      </c>
      <c r="H50" s="1" t="s">
        <v>128</v>
      </c>
      <c r="I50" s="1">
        <v>7</v>
      </c>
      <c r="J50" s="1">
        <v>7</v>
      </c>
      <c r="K50" s="1">
        <v>6</v>
      </c>
      <c r="L50" s="1"/>
      <c r="M50" s="1" t="b">
        <v>0</v>
      </c>
      <c r="N50" s="1" t="s">
        <v>481</v>
      </c>
      <c r="O50" s="15">
        <f>VLOOKUP(N50,Select!D:H,5,FALSE)</f>
        <v>3</v>
      </c>
    </row>
    <row r="51" spans="1:15">
      <c r="A51" s="14">
        <v>1214</v>
      </c>
      <c r="B51" s="5" t="s">
        <v>25</v>
      </c>
      <c r="C51" s="6">
        <f>VLOOKUP(B51,Select!A:H,8,FALSE)</f>
        <v>2</v>
      </c>
      <c r="D51" s="5" t="s">
        <v>21</v>
      </c>
      <c r="E51" s="6">
        <f>VLOOKUP(D51,Select!B:H,7,FALSE)</f>
        <v>2</v>
      </c>
      <c r="F51" s="5" t="s">
        <v>3</v>
      </c>
      <c r="G51" s="6">
        <f>VLOOKUP(F51,Select!C:H,6,FALSE)</f>
        <v>0</v>
      </c>
      <c r="H51" s="1" t="s">
        <v>129</v>
      </c>
      <c r="I51" s="1">
        <v>8</v>
      </c>
      <c r="J51" s="1">
        <v>6</v>
      </c>
      <c r="K51" s="1">
        <v>6</v>
      </c>
      <c r="L51" s="1"/>
      <c r="M51" s="1" t="b">
        <v>0</v>
      </c>
      <c r="N51" s="1" t="s">
        <v>477</v>
      </c>
      <c r="O51" s="15">
        <f>VLOOKUP(N51,Select!D:H,5,FALSE)</f>
        <v>0</v>
      </c>
    </row>
    <row r="52" spans="1:15">
      <c r="A52" s="14">
        <v>1215</v>
      </c>
      <c r="B52" s="1" t="s">
        <v>25</v>
      </c>
      <c r="C52" s="6">
        <f>VLOOKUP(B52,Select!A:H,8,FALSE)</f>
        <v>2</v>
      </c>
      <c r="D52" s="1" t="s">
        <v>21</v>
      </c>
      <c r="E52" s="6">
        <f>VLOOKUP(D52,Select!B:H,7,FALSE)</f>
        <v>2</v>
      </c>
      <c r="F52" s="1" t="s">
        <v>23</v>
      </c>
      <c r="G52" s="6">
        <f>VLOOKUP(F52,Select!C:H,6,FALSE)</f>
        <v>1</v>
      </c>
      <c r="H52" s="1" t="s">
        <v>130</v>
      </c>
      <c r="I52" s="1">
        <v>7</v>
      </c>
      <c r="J52" s="1"/>
      <c r="K52" s="1"/>
      <c r="L52" s="1"/>
      <c r="M52" s="1" t="b">
        <v>0</v>
      </c>
      <c r="N52" s="1" t="s">
        <v>481</v>
      </c>
      <c r="O52" s="15">
        <f>VLOOKUP(N52,Select!D:H,5,FALSE)</f>
        <v>3</v>
      </c>
    </row>
    <row r="53" spans="1:15">
      <c r="A53" s="14">
        <v>1216</v>
      </c>
      <c r="B53" s="5" t="s">
        <v>25</v>
      </c>
      <c r="C53" s="6">
        <f>VLOOKUP(B53,Select!A:H,8,FALSE)</f>
        <v>2</v>
      </c>
      <c r="D53" s="5" t="s">
        <v>30</v>
      </c>
      <c r="E53" s="6">
        <f>VLOOKUP(D53,Select!B:H,7,FALSE)</f>
        <v>3</v>
      </c>
      <c r="F53" s="5" t="s">
        <v>3</v>
      </c>
      <c r="G53" s="6">
        <f>VLOOKUP(F53,Select!C:H,6,FALSE)</f>
        <v>0</v>
      </c>
      <c r="H53" s="1" t="s">
        <v>131</v>
      </c>
      <c r="I53" s="1">
        <v>3</v>
      </c>
      <c r="J53" s="1">
        <v>2</v>
      </c>
      <c r="K53" s="1">
        <v>2</v>
      </c>
      <c r="L53" s="1"/>
      <c r="M53" s="1" t="b">
        <v>0</v>
      </c>
      <c r="N53" s="1" t="s">
        <v>477</v>
      </c>
      <c r="O53" s="15">
        <f>VLOOKUP(N53,Select!D:H,5,FALSE)</f>
        <v>0</v>
      </c>
    </row>
    <row r="54" spans="1:15">
      <c r="A54" s="14">
        <v>1217</v>
      </c>
      <c r="B54" s="1" t="s">
        <v>25</v>
      </c>
      <c r="C54" s="6">
        <f>VLOOKUP(B54,Select!A:H,8,FALSE)</f>
        <v>2</v>
      </c>
      <c r="D54" s="1" t="s">
        <v>30</v>
      </c>
      <c r="E54" s="6">
        <f>VLOOKUP(D54,Select!B:H,7,FALSE)</f>
        <v>3</v>
      </c>
      <c r="F54" s="1" t="s">
        <v>3</v>
      </c>
      <c r="G54" s="6">
        <f>VLOOKUP(F54,Select!C:H,6,FALSE)</f>
        <v>0</v>
      </c>
      <c r="H54" s="1" t="s">
        <v>132</v>
      </c>
      <c r="I54" s="1">
        <v>5</v>
      </c>
      <c r="J54" s="1">
        <v>3</v>
      </c>
      <c r="K54" s="1">
        <v>5</v>
      </c>
      <c r="L54" s="1"/>
      <c r="M54" s="1" t="b">
        <v>0</v>
      </c>
      <c r="N54" s="1" t="s">
        <v>481</v>
      </c>
      <c r="O54" s="15">
        <f>VLOOKUP(N54,Select!D:H,5,FALSE)</f>
        <v>3</v>
      </c>
    </row>
    <row r="55" spans="1:15">
      <c r="A55" s="14">
        <v>1218</v>
      </c>
      <c r="B55" s="5" t="s">
        <v>25</v>
      </c>
      <c r="C55" s="6">
        <f>VLOOKUP(B55,Select!A:H,8,FALSE)</f>
        <v>2</v>
      </c>
      <c r="D55" s="5" t="s">
        <v>30</v>
      </c>
      <c r="E55" s="6">
        <f>VLOOKUP(D55,Select!B:H,7,FALSE)</f>
        <v>3</v>
      </c>
      <c r="F55" s="5" t="s">
        <v>3</v>
      </c>
      <c r="G55" s="6">
        <f>VLOOKUP(F55,Select!C:H,6,FALSE)</f>
        <v>0</v>
      </c>
      <c r="H55" s="1" t="s">
        <v>133</v>
      </c>
      <c r="I55" s="1">
        <v>6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15">
        <f>VLOOKUP(N55,Select!D:H,5,FALSE)</f>
        <v>0</v>
      </c>
    </row>
    <row r="56" spans="1:15">
      <c r="A56" s="14">
        <v>1219</v>
      </c>
      <c r="B56" s="1" t="s">
        <v>25</v>
      </c>
      <c r="C56" s="6">
        <f>VLOOKUP(B56,Select!A:H,8,FALSE)</f>
        <v>2</v>
      </c>
      <c r="D56" s="1" t="s">
        <v>10</v>
      </c>
      <c r="E56" s="6">
        <f>VLOOKUP(D56,Select!B:H,7,FALSE)</f>
        <v>0</v>
      </c>
      <c r="F56" s="1" t="s">
        <v>3</v>
      </c>
      <c r="G56" s="6">
        <f>VLOOKUP(F56,Select!C:H,6,FALSE)</f>
        <v>0</v>
      </c>
      <c r="H56" s="1" t="s">
        <v>242</v>
      </c>
      <c r="I56" s="1">
        <v>1</v>
      </c>
      <c r="J56" s="1">
        <v>2</v>
      </c>
      <c r="K56" s="1">
        <v>2</v>
      </c>
      <c r="L56" s="1"/>
      <c r="M56" s="1" t="b">
        <v>1</v>
      </c>
      <c r="N56" s="1" t="s">
        <v>460</v>
      </c>
      <c r="O56" s="15">
        <f>VLOOKUP(N56,Select!D:H,5,FALSE)</f>
        <v>1</v>
      </c>
    </row>
    <row r="57" spans="1:15">
      <c r="A57" s="14">
        <v>1300</v>
      </c>
      <c r="B57" s="5" t="s">
        <v>22</v>
      </c>
      <c r="C57" s="6">
        <f>VLOOKUP(B57,Select!A:H,8,FALSE)</f>
        <v>3</v>
      </c>
      <c r="D57" s="5" t="s">
        <v>10</v>
      </c>
      <c r="E57" s="6">
        <f>VLOOKUP(D57,Select!B:H,7,FALSE)</f>
        <v>0</v>
      </c>
      <c r="F57" s="5" t="s">
        <v>3</v>
      </c>
      <c r="G57" s="6">
        <f>VLOOKUP(F57,Select!C:H,6,FALSE)</f>
        <v>0</v>
      </c>
      <c r="H57" s="1" t="s">
        <v>134</v>
      </c>
      <c r="I57" s="1">
        <v>2</v>
      </c>
      <c r="J57" s="1">
        <v>2</v>
      </c>
      <c r="K57" s="1">
        <v>2</v>
      </c>
      <c r="L57" s="1"/>
      <c r="M57" s="1" t="b">
        <v>0</v>
      </c>
      <c r="N57" s="1" t="s">
        <v>477</v>
      </c>
      <c r="O57" s="15">
        <f>VLOOKUP(N57,Select!D:H,5,FALSE)</f>
        <v>0</v>
      </c>
    </row>
    <row r="58" spans="1:15">
      <c r="A58" s="14">
        <v>1301</v>
      </c>
      <c r="B58" s="1" t="s">
        <v>22</v>
      </c>
      <c r="C58" s="6">
        <f>VLOOKUP(B58,Select!A:H,8,FALSE)</f>
        <v>3</v>
      </c>
      <c r="D58" s="1" t="s">
        <v>10</v>
      </c>
      <c r="E58" s="6">
        <f>VLOOKUP(D58,Select!B:H,7,FALSE)</f>
        <v>0</v>
      </c>
      <c r="F58" s="1" t="s">
        <v>3</v>
      </c>
      <c r="G58" s="6">
        <f>VLOOKUP(F58,Select!C:H,6,FALSE)</f>
        <v>0</v>
      </c>
      <c r="H58" s="1" t="s">
        <v>135</v>
      </c>
      <c r="I58" s="1">
        <v>3</v>
      </c>
      <c r="J58" s="1">
        <v>3</v>
      </c>
      <c r="K58" s="1">
        <v>3</v>
      </c>
      <c r="L58" s="1"/>
      <c r="M58" s="1" t="b">
        <v>0</v>
      </c>
      <c r="N58" s="1" t="s">
        <v>477</v>
      </c>
      <c r="O58" s="15">
        <f>VLOOKUP(N58,Select!D:H,5,FALSE)</f>
        <v>0</v>
      </c>
    </row>
    <row r="59" spans="1:15">
      <c r="A59" s="14">
        <v>1302</v>
      </c>
      <c r="B59" s="5" t="s">
        <v>22</v>
      </c>
      <c r="C59" s="6">
        <f>VLOOKUP(B59,Select!A:H,8,FALSE)</f>
        <v>3</v>
      </c>
      <c r="D59" s="5" t="s">
        <v>10</v>
      </c>
      <c r="E59" s="6">
        <f>VLOOKUP(D59,Select!B:H,7,FALSE)</f>
        <v>0</v>
      </c>
      <c r="F59" s="5" t="s">
        <v>3</v>
      </c>
      <c r="G59" s="6">
        <f>VLOOKUP(F59,Select!C:H,6,FALSE)</f>
        <v>0</v>
      </c>
      <c r="H59" s="1" t="s">
        <v>136</v>
      </c>
      <c r="I59" s="1">
        <v>4</v>
      </c>
      <c r="J59" s="1">
        <v>2</v>
      </c>
      <c r="K59" s="1">
        <v>2</v>
      </c>
      <c r="L59" s="1"/>
      <c r="M59" s="1" t="b">
        <v>0</v>
      </c>
      <c r="N59" s="1" t="s">
        <v>477</v>
      </c>
      <c r="O59" s="15">
        <f>VLOOKUP(N59,Select!D:H,5,FALSE)</f>
        <v>0</v>
      </c>
    </row>
    <row r="60" spans="1:15">
      <c r="A60" s="14">
        <v>1303</v>
      </c>
      <c r="B60" s="1" t="s">
        <v>22</v>
      </c>
      <c r="C60" s="6">
        <f>VLOOKUP(B60,Select!A:H,8,FALSE)</f>
        <v>3</v>
      </c>
      <c r="D60" s="1" t="s">
        <v>10</v>
      </c>
      <c r="E60" s="6">
        <f>VLOOKUP(D60,Select!B:H,7,FALSE)</f>
        <v>0</v>
      </c>
      <c r="F60" s="1" t="s">
        <v>3</v>
      </c>
      <c r="G60" s="6">
        <f>VLOOKUP(F60,Select!C:H,6,FALSE)</f>
        <v>0</v>
      </c>
      <c r="H60" s="1" t="s">
        <v>137</v>
      </c>
      <c r="I60" s="1">
        <v>5</v>
      </c>
      <c r="J60" s="1">
        <v>1</v>
      </c>
      <c r="K60" s="1">
        <v>1</v>
      </c>
      <c r="L60" s="1"/>
      <c r="M60" s="1" t="b">
        <v>0</v>
      </c>
      <c r="N60" s="1" t="s">
        <v>477</v>
      </c>
      <c r="O60" s="15">
        <f>VLOOKUP(N60,Select!D:H,5,FALSE)</f>
        <v>0</v>
      </c>
    </row>
    <row r="61" spans="1:15">
      <c r="A61" s="14">
        <v>1304</v>
      </c>
      <c r="B61" s="5" t="s">
        <v>22</v>
      </c>
      <c r="C61" s="6">
        <f>VLOOKUP(B61,Select!A:H,8,FALSE)</f>
        <v>3</v>
      </c>
      <c r="D61" s="5" t="s">
        <v>10</v>
      </c>
      <c r="E61" s="6">
        <f>VLOOKUP(D61,Select!B:H,7,FALSE)</f>
        <v>0</v>
      </c>
      <c r="F61" s="5" t="s">
        <v>23</v>
      </c>
      <c r="G61" s="6">
        <f>VLOOKUP(F61,Select!C:H,6,FALSE)</f>
        <v>1</v>
      </c>
      <c r="H61" s="1" t="s">
        <v>138</v>
      </c>
      <c r="I61" s="1">
        <v>1</v>
      </c>
      <c r="J61" s="1"/>
      <c r="K61" s="1"/>
      <c r="L61" s="1"/>
      <c r="M61" s="1" t="b">
        <v>0</v>
      </c>
      <c r="N61" s="1" t="s">
        <v>477</v>
      </c>
      <c r="O61" s="15">
        <f>VLOOKUP(N61,Select!D:H,5,FALSE)</f>
        <v>0</v>
      </c>
    </row>
    <row r="62" spans="1:15">
      <c r="A62" s="14">
        <v>1305</v>
      </c>
      <c r="B62" s="1" t="s">
        <v>22</v>
      </c>
      <c r="C62" s="6">
        <f>VLOOKUP(B62,Select!A:H,8,FALSE)</f>
        <v>3</v>
      </c>
      <c r="D62" s="1" t="s">
        <v>10</v>
      </c>
      <c r="E62" s="6">
        <f>VLOOKUP(D62,Select!B:H,7,FALSE)</f>
        <v>0</v>
      </c>
      <c r="F62" s="1" t="s">
        <v>23</v>
      </c>
      <c r="G62" s="6">
        <f>VLOOKUP(F62,Select!C:H,6,FALSE)</f>
        <v>1</v>
      </c>
      <c r="H62" s="1" t="s">
        <v>139</v>
      </c>
      <c r="I62" s="1">
        <v>2</v>
      </c>
      <c r="J62" s="1"/>
      <c r="K62" s="1"/>
      <c r="L62" s="1"/>
      <c r="M62" s="1" t="b">
        <v>0</v>
      </c>
      <c r="N62" s="1" t="s">
        <v>477</v>
      </c>
      <c r="O62" s="15">
        <f>VLOOKUP(N62,Select!D:H,5,FALSE)</f>
        <v>0</v>
      </c>
    </row>
    <row r="63" spans="1:15">
      <c r="A63" s="14">
        <v>1306</v>
      </c>
      <c r="B63" s="5" t="s">
        <v>22</v>
      </c>
      <c r="C63" s="6">
        <f>VLOOKUP(B63,Select!A:H,8,FALSE)</f>
        <v>3</v>
      </c>
      <c r="D63" s="5" t="s">
        <v>36</v>
      </c>
      <c r="E63" s="6">
        <f>VLOOKUP(D63,Select!B:H,7,FALSE)</f>
        <v>1</v>
      </c>
      <c r="F63" s="5" t="s">
        <v>3</v>
      </c>
      <c r="G63" s="6">
        <f>VLOOKUP(F63,Select!C:H,6,FALSE)</f>
        <v>0</v>
      </c>
      <c r="H63" s="1" t="s">
        <v>140</v>
      </c>
      <c r="I63" s="1">
        <v>2</v>
      </c>
      <c r="J63" s="1">
        <v>2</v>
      </c>
      <c r="K63" s="1">
        <v>2</v>
      </c>
      <c r="L63" s="1"/>
      <c r="M63" s="1" t="b">
        <v>0</v>
      </c>
      <c r="N63" s="1" t="s">
        <v>482</v>
      </c>
      <c r="O63" s="15">
        <f>VLOOKUP(N63,Select!D:H,5,FALSE)</f>
        <v>7</v>
      </c>
    </row>
    <row r="64" spans="1:15">
      <c r="A64" s="14">
        <v>1307</v>
      </c>
      <c r="B64" s="1" t="s">
        <v>22</v>
      </c>
      <c r="C64" s="6">
        <f>VLOOKUP(B64,Select!A:H,8,FALSE)</f>
        <v>3</v>
      </c>
      <c r="D64" s="1" t="s">
        <v>36</v>
      </c>
      <c r="E64" s="6">
        <f>VLOOKUP(D64,Select!B:H,7,FALSE)</f>
        <v>1</v>
      </c>
      <c r="F64" s="1" t="s">
        <v>3</v>
      </c>
      <c r="G64" s="6">
        <f>VLOOKUP(F64,Select!C:H,6,FALSE)</f>
        <v>0</v>
      </c>
      <c r="H64" s="1" t="s">
        <v>141</v>
      </c>
      <c r="I64" s="1">
        <v>5</v>
      </c>
      <c r="J64" s="1">
        <v>2</v>
      </c>
      <c r="K64" s="1">
        <v>2</v>
      </c>
      <c r="L64" s="1"/>
      <c r="M64" s="1" t="b">
        <v>0</v>
      </c>
      <c r="N64" s="1" t="s">
        <v>477</v>
      </c>
      <c r="O64" s="15">
        <f>VLOOKUP(N64,Select!D:H,5,FALSE)</f>
        <v>0</v>
      </c>
    </row>
    <row r="65" spans="1:15">
      <c r="A65" s="14">
        <v>1308</v>
      </c>
      <c r="B65" s="5" t="s">
        <v>22</v>
      </c>
      <c r="C65" s="6">
        <f>VLOOKUP(B65,Select!A:H,8,FALSE)</f>
        <v>3</v>
      </c>
      <c r="D65" s="5" t="s">
        <v>36</v>
      </c>
      <c r="E65" s="6">
        <f>VLOOKUP(D65,Select!B:H,7,FALSE)</f>
        <v>1</v>
      </c>
      <c r="F65" s="5" t="s">
        <v>3</v>
      </c>
      <c r="G65" s="6">
        <f>VLOOKUP(F65,Select!C:H,6,FALSE)</f>
        <v>0</v>
      </c>
      <c r="H65" s="1" t="s">
        <v>142</v>
      </c>
      <c r="I65" s="1">
        <v>6</v>
      </c>
      <c r="J65" s="1">
        <v>5</v>
      </c>
      <c r="K65" s="1">
        <v>5</v>
      </c>
      <c r="L65" s="1"/>
      <c r="M65" s="1" t="b">
        <v>0</v>
      </c>
      <c r="N65" s="1" t="s">
        <v>482</v>
      </c>
      <c r="O65" s="15">
        <f>VLOOKUP(N65,Select!D:H,5,FALSE)</f>
        <v>7</v>
      </c>
    </row>
    <row r="66" spans="1:15">
      <c r="A66" s="14">
        <v>1309</v>
      </c>
      <c r="B66" s="1" t="s">
        <v>22</v>
      </c>
      <c r="C66" s="6">
        <f>VLOOKUP(B66,Select!A:H,8,FALSE)</f>
        <v>3</v>
      </c>
      <c r="D66" s="1" t="s">
        <v>36</v>
      </c>
      <c r="E66" s="6">
        <f>VLOOKUP(D66,Select!B:H,7,FALSE)</f>
        <v>1</v>
      </c>
      <c r="F66" s="1" t="s">
        <v>23</v>
      </c>
      <c r="G66" s="6">
        <f>VLOOKUP(F66,Select!C:H,6,FALSE)</f>
        <v>1</v>
      </c>
      <c r="H66" s="1" t="s">
        <v>143</v>
      </c>
      <c r="I66" s="1">
        <v>3</v>
      </c>
      <c r="J66" s="1"/>
      <c r="K66" s="1"/>
      <c r="L66" s="1"/>
      <c r="M66" s="1" t="b">
        <v>0</v>
      </c>
      <c r="N66" s="1" t="s">
        <v>477</v>
      </c>
      <c r="O66" s="15">
        <f>VLOOKUP(N66,Select!D:H,5,FALSE)</f>
        <v>0</v>
      </c>
    </row>
    <row r="67" spans="1:15">
      <c r="A67" s="14">
        <v>1310</v>
      </c>
      <c r="B67" s="5" t="s">
        <v>22</v>
      </c>
      <c r="C67" s="6">
        <f>VLOOKUP(B67,Select!A:H,8,FALSE)</f>
        <v>3</v>
      </c>
      <c r="D67" s="5" t="s">
        <v>36</v>
      </c>
      <c r="E67" s="6">
        <f>VLOOKUP(D67,Select!B:H,7,FALSE)</f>
        <v>1</v>
      </c>
      <c r="F67" s="5" t="s">
        <v>23</v>
      </c>
      <c r="G67" s="6">
        <f>VLOOKUP(F67,Select!C:H,6,FALSE)</f>
        <v>1</v>
      </c>
      <c r="H67" s="1" t="s">
        <v>144</v>
      </c>
      <c r="I67" s="1">
        <v>8</v>
      </c>
      <c r="J67" s="1"/>
      <c r="K67" s="1"/>
      <c r="L67" s="1"/>
      <c r="M67" s="1" t="b">
        <v>0</v>
      </c>
      <c r="N67" s="1" t="s">
        <v>477</v>
      </c>
      <c r="O67" s="15">
        <f>VLOOKUP(N67,Select!D:H,5,FALSE)</f>
        <v>0</v>
      </c>
    </row>
    <row r="68" spans="1:15">
      <c r="A68" s="14">
        <v>1311</v>
      </c>
      <c r="B68" s="1" t="s">
        <v>22</v>
      </c>
      <c r="C68" s="6">
        <f>VLOOKUP(B68,Select!A:H,8,FALSE)</f>
        <v>3</v>
      </c>
      <c r="D68" s="1" t="s">
        <v>21</v>
      </c>
      <c r="E68" s="6">
        <f>VLOOKUP(D68,Select!B:H,7,FALSE)</f>
        <v>2</v>
      </c>
      <c r="F68" s="1" t="s">
        <v>3</v>
      </c>
      <c r="G68" s="6">
        <f>VLOOKUP(F68,Select!C:H,6,FALSE)</f>
        <v>0</v>
      </c>
      <c r="H68" s="1" t="s">
        <v>145</v>
      </c>
      <c r="I68" s="1">
        <v>2</v>
      </c>
      <c r="J68" s="1">
        <v>2</v>
      </c>
      <c r="K68" s="1">
        <v>2</v>
      </c>
      <c r="L68" s="1"/>
      <c r="M68" s="1" t="b">
        <v>0</v>
      </c>
      <c r="N68" s="1" t="s">
        <v>477</v>
      </c>
      <c r="O68" s="15">
        <f>VLOOKUP(N68,Select!D:H,5,FALSE)</f>
        <v>0</v>
      </c>
    </row>
    <row r="69" spans="1:15">
      <c r="A69" s="14">
        <v>1312</v>
      </c>
      <c r="B69" s="5" t="s">
        <v>22</v>
      </c>
      <c r="C69" s="6">
        <f>VLOOKUP(B69,Select!A:H,8,FALSE)</f>
        <v>3</v>
      </c>
      <c r="D69" s="5" t="s">
        <v>21</v>
      </c>
      <c r="E69" s="6">
        <f>VLOOKUP(D69,Select!B:H,7,FALSE)</f>
        <v>2</v>
      </c>
      <c r="F69" s="5" t="s">
        <v>3</v>
      </c>
      <c r="G69" s="6">
        <f>VLOOKUP(F69,Select!C:H,6,FALSE)</f>
        <v>0</v>
      </c>
      <c r="H69" s="1" t="s">
        <v>146</v>
      </c>
      <c r="I69" s="1">
        <v>4</v>
      </c>
      <c r="J69" s="1">
        <v>2</v>
      </c>
      <c r="K69" s="1">
        <v>2</v>
      </c>
      <c r="L69" s="1"/>
      <c r="M69" s="1" t="b">
        <v>0</v>
      </c>
      <c r="N69" s="1" t="s">
        <v>477</v>
      </c>
      <c r="O69" s="15">
        <f>VLOOKUP(N69,Select!D:H,5,FALSE)</f>
        <v>0</v>
      </c>
    </row>
    <row r="70" spans="1:15">
      <c r="A70" s="14">
        <v>1313</v>
      </c>
      <c r="B70" s="1" t="s">
        <v>22</v>
      </c>
      <c r="C70" s="6">
        <f>VLOOKUP(B70,Select!A:H,8,FALSE)</f>
        <v>3</v>
      </c>
      <c r="D70" s="1" t="s">
        <v>21</v>
      </c>
      <c r="E70" s="6">
        <f>VLOOKUP(D70,Select!B:H,7,FALSE)</f>
        <v>2</v>
      </c>
      <c r="F70" s="1" t="s">
        <v>3</v>
      </c>
      <c r="G70" s="6">
        <f>VLOOKUP(F70,Select!C:H,6,FALSE)</f>
        <v>0</v>
      </c>
      <c r="H70" s="1" t="s">
        <v>147</v>
      </c>
      <c r="I70" s="1">
        <v>5</v>
      </c>
      <c r="J70" s="1">
        <v>3</v>
      </c>
      <c r="K70" s="1">
        <v>3</v>
      </c>
      <c r="L70" s="1"/>
      <c r="M70" s="1" t="b">
        <v>0</v>
      </c>
      <c r="N70" s="1" t="s">
        <v>477</v>
      </c>
      <c r="O70" s="15">
        <f>VLOOKUP(N70,Select!D:H,5,FALSE)</f>
        <v>0</v>
      </c>
    </row>
    <row r="71" spans="1:15">
      <c r="A71" s="14">
        <v>1314</v>
      </c>
      <c r="B71" s="5" t="s">
        <v>22</v>
      </c>
      <c r="C71" s="6">
        <f>VLOOKUP(B71,Select!A:H,8,FALSE)</f>
        <v>3</v>
      </c>
      <c r="D71" s="5" t="s">
        <v>21</v>
      </c>
      <c r="E71" s="6">
        <f>VLOOKUP(D71,Select!B:H,7,FALSE)</f>
        <v>2</v>
      </c>
      <c r="F71" s="5" t="s">
        <v>23</v>
      </c>
      <c r="G71" s="6">
        <f>VLOOKUP(F71,Select!C:H,6,FALSE)</f>
        <v>1</v>
      </c>
      <c r="H71" s="1" t="s">
        <v>148</v>
      </c>
      <c r="I71" s="1">
        <v>3</v>
      </c>
      <c r="J71" s="1"/>
      <c r="K71" s="1"/>
      <c r="L71" s="1"/>
      <c r="M71" s="1" t="b">
        <v>0</v>
      </c>
      <c r="N71" s="1" t="s">
        <v>482</v>
      </c>
      <c r="O71" s="15">
        <f>VLOOKUP(N71,Select!D:H,5,FALSE)</f>
        <v>7</v>
      </c>
    </row>
    <row r="72" spans="1:15">
      <c r="A72" s="14">
        <v>1315</v>
      </c>
      <c r="B72" s="1" t="s">
        <v>22</v>
      </c>
      <c r="C72" s="6">
        <f>VLOOKUP(B72,Select!A:H,8,FALSE)</f>
        <v>3</v>
      </c>
      <c r="D72" s="1" t="s">
        <v>21</v>
      </c>
      <c r="E72" s="6">
        <f>VLOOKUP(D72,Select!B:H,7,FALSE)</f>
        <v>2</v>
      </c>
      <c r="F72" s="1" t="s">
        <v>5</v>
      </c>
      <c r="G72" s="6">
        <f>VLOOKUP(F72,Select!C:H,6,FALSE)</f>
        <v>1</v>
      </c>
      <c r="H72" s="1" t="s">
        <v>149</v>
      </c>
      <c r="I72" s="1">
        <v>7</v>
      </c>
      <c r="J72" s="1"/>
      <c r="K72" s="1"/>
      <c r="L72" s="1"/>
      <c r="M72" s="1" t="b">
        <v>0</v>
      </c>
      <c r="N72" s="1" t="s">
        <v>477</v>
      </c>
      <c r="O72" s="15">
        <f>VLOOKUP(N72,Select!D:H,5,FALSE)</f>
        <v>0</v>
      </c>
    </row>
    <row r="73" spans="1:15">
      <c r="A73" s="14">
        <v>1316</v>
      </c>
      <c r="B73" s="5" t="s">
        <v>22</v>
      </c>
      <c r="C73" s="6">
        <f>VLOOKUP(B73,Select!A:H,8,FALSE)</f>
        <v>3</v>
      </c>
      <c r="D73" s="5" t="s">
        <v>30</v>
      </c>
      <c r="E73" s="6">
        <f>VLOOKUP(D73,Select!B:H,7,FALSE)</f>
        <v>3</v>
      </c>
      <c r="F73" s="5" t="s">
        <v>3</v>
      </c>
      <c r="G73" s="6">
        <f>VLOOKUP(F73,Select!C:H,6,FALSE)</f>
        <v>0</v>
      </c>
      <c r="H73" s="1" t="s">
        <v>150</v>
      </c>
      <c r="I73" s="1">
        <v>5</v>
      </c>
      <c r="J73" s="1">
        <v>4</v>
      </c>
      <c r="K73" s="1">
        <v>4</v>
      </c>
      <c r="L73" s="1"/>
      <c r="M73" s="1" t="b">
        <v>0</v>
      </c>
      <c r="N73" s="1" t="s">
        <v>482</v>
      </c>
      <c r="O73" s="15">
        <f>VLOOKUP(N73,Select!D:H,5,FALSE)</f>
        <v>7</v>
      </c>
    </row>
    <row r="74" spans="1:15">
      <c r="A74" s="14">
        <v>1317</v>
      </c>
      <c r="B74" s="1" t="s">
        <v>22</v>
      </c>
      <c r="C74" s="6">
        <f>VLOOKUP(B74,Select!A:H,8,FALSE)</f>
        <v>3</v>
      </c>
      <c r="D74" s="1" t="s">
        <v>30</v>
      </c>
      <c r="E74" s="6">
        <f>VLOOKUP(D74,Select!B:H,7,FALSE)</f>
        <v>3</v>
      </c>
      <c r="F74" s="1" t="s">
        <v>3</v>
      </c>
      <c r="G74" s="6">
        <f>VLOOKUP(F74,Select!C:H,6,FALSE)</f>
        <v>0</v>
      </c>
      <c r="H74" s="1" t="s">
        <v>151</v>
      </c>
      <c r="I74" s="1">
        <v>7</v>
      </c>
      <c r="J74" s="1">
        <v>3</v>
      </c>
      <c r="K74" s="1">
        <v>3</v>
      </c>
      <c r="L74" s="1"/>
      <c r="M74" s="1" t="b">
        <v>0</v>
      </c>
      <c r="N74" s="1" t="s">
        <v>477</v>
      </c>
      <c r="O74" s="15">
        <f>VLOOKUP(N74,Select!D:H,5,FALSE)</f>
        <v>0</v>
      </c>
    </row>
    <row r="75" spans="1:15">
      <c r="A75" s="14">
        <v>1318</v>
      </c>
      <c r="B75" s="5" t="s">
        <v>22</v>
      </c>
      <c r="C75" s="6">
        <f>VLOOKUP(B75,Select!A:H,8,FALSE)</f>
        <v>3</v>
      </c>
      <c r="D75" s="5" t="s">
        <v>30</v>
      </c>
      <c r="E75" s="6">
        <f>VLOOKUP(D75,Select!B:H,7,FALSE)</f>
        <v>3</v>
      </c>
      <c r="F75" s="5" t="s">
        <v>23</v>
      </c>
      <c r="G75" s="6">
        <f>VLOOKUP(F75,Select!C:H,6,FALSE)</f>
        <v>1</v>
      </c>
      <c r="H75" s="1" t="s">
        <v>152</v>
      </c>
      <c r="I75" s="1">
        <v>18</v>
      </c>
      <c r="J75" s="1"/>
      <c r="K75" s="1"/>
      <c r="L75" s="1"/>
      <c r="M75" s="1" t="b">
        <v>0</v>
      </c>
      <c r="N75" s="1" t="s">
        <v>477</v>
      </c>
      <c r="O75" s="15">
        <f>VLOOKUP(N75,Select!D:H,5,FALSE)</f>
        <v>0</v>
      </c>
    </row>
    <row r="76" spans="1:15">
      <c r="A76" s="14">
        <v>1319</v>
      </c>
      <c r="B76" s="1" t="s">
        <v>22</v>
      </c>
      <c r="C76" s="6">
        <f>VLOOKUP(B76,Select!A:H,8,FALSE)</f>
        <v>3</v>
      </c>
      <c r="D76" s="1" t="s">
        <v>10</v>
      </c>
      <c r="E76" s="6">
        <f>VLOOKUP(D76,Select!B:H,7,FALSE)</f>
        <v>0</v>
      </c>
      <c r="F76" s="1" t="s">
        <v>3</v>
      </c>
      <c r="G76" s="6">
        <f>VLOOKUP(F76,Select!C:H,6,FALSE)</f>
        <v>0</v>
      </c>
      <c r="H76" s="1" t="s">
        <v>243</v>
      </c>
      <c r="I76" s="1">
        <v>2</v>
      </c>
      <c r="J76" s="1">
        <v>2</v>
      </c>
      <c r="K76" s="1">
        <v>1</v>
      </c>
      <c r="L76" s="1"/>
      <c r="M76" s="1" t="b">
        <v>1</v>
      </c>
      <c r="N76" s="1" t="s">
        <v>468</v>
      </c>
      <c r="O76" s="15">
        <f>VLOOKUP(N76,Select!D:H,5,FALSE)</f>
        <v>9</v>
      </c>
    </row>
    <row r="77" spans="1:15">
      <c r="A77" s="14">
        <v>1320</v>
      </c>
      <c r="B77" s="5" t="s">
        <v>22</v>
      </c>
      <c r="C77" s="6">
        <f>VLOOKUP(B77,Select!A:H,8,FALSE)</f>
        <v>3</v>
      </c>
      <c r="D77" s="5" t="s">
        <v>10</v>
      </c>
      <c r="E77" s="6">
        <f>VLOOKUP(D77,Select!B:H,7,FALSE)</f>
        <v>0</v>
      </c>
      <c r="F77" s="5" t="s">
        <v>3</v>
      </c>
      <c r="G77" s="6">
        <f>VLOOKUP(F77,Select!C:H,6,FALSE)</f>
        <v>0</v>
      </c>
      <c r="H77" s="1" t="s">
        <v>244</v>
      </c>
      <c r="I77" s="1">
        <v>3</v>
      </c>
      <c r="J77" s="1">
        <v>3</v>
      </c>
      <c r="K77" s="1">
        <v>3</v>
      </c>
      <c r="L77" s="1"/>
      <c r="M77" s="1" t="b">
        <v>1</v>
      </c>
      <c r="N77" s="1" t="s">
        <v>468</v>
      </c>
      <c r="O77" s="15">
        <f>VLOOKUP(N77,Select!D:H,5,FALSE)</f>
        <v>9</v>
      </c>
    </row>
    <row r="78" spans="1:15">
      <c r="A78" s="14">
        <v>1321</v>
      </c>
      <c r="B78" s="1" t="s">
        <v>22</v>
      </c>
      <c r="C78" s="6">
        <f>VLOOKUP(B78,Select!A:H,8,FALSE)</f>
        <v>3</v>
      </c>
      <c r="D78" s="1" t="s">
        <v>21</v>
      </c>
      <c r="E78" s="6">
        <f>VLOOKUP(D78,Select!B:H,7,FALSE)</f>
        <v>2</v>
      </c>
      <c r="F78" s="1" t="s">
        <v>23</v>
      </c>
      <c r="G78" s="6">
        <f>VLOOKUP(F78,Select!C:H,6,FALSE)</f>
        <v>1</v>
      </c>
      <c r="H78" s="1" t="s">
        <v>245</v>
      </c>
      <c r="I78" s="1">
        <v>1</v>
      </c>
      <c r="J78" s="1"/>
      <c r="K78" s="1"/>
      <c r="L78" s="1"/>
      <c r="M78" s="1" t="b">
        <v>1</v>
      </c>
      <c r="N78" s="1" t="s">
        <v>482</v>
      </c>
      <c r="O78" s="15">
        <f>VLOOKUP(N78,Select!D:H,5,FALSE)</f>
        <v>7</v>
      </c>
    </row>
    <row r="79" spans="1:15">
      <c r="A79" s="14">
        <v>1322</v>
      </c>
      <c r="B79" s="5" t="s">
        <v>22</v>
      </c>
      <c r="C79" s="6">
        <f>VLOOKUP(B79,Select!A:H,8,FALSE)</f>
        <v>3</v>
      </c>
      <c r="D79" s="5" t="s">
        <v>30</v>
      </c>
      <c r="E79" s="6">
        <f>VLOOKUP(D79,Select!B:H,7,FALSE)</f>
        <v>3</v>
      </c>
      <c r="F79" s="5" t="s">
        <v>3</v>
      </c>
      <c r="G79" s="6">
        <f>VLOOKUP(F79,Select!C:H,6,FALSE)</f>
        <v>0</v>
      </c>
      <c r="H79" s="1" t="s">
        <v>246</v>
      </c>
      <c r="I79" s="1">
        <v>3</v>
      </c>
      <c r="J79" s="1">
        <v>5</v>
      </c>
      <c r="K79" s="1">
        <v>5</v>
      </c>
      <c r="L79" s="1"/>
      <c r="M79" s="1" t="b">
        <v>1</v>
      </c>
      <c r="N79" s="1" t="s">
        <v>482</v>
      </c>
      <c r="O79" s="15">
        <f>VLOOKUP(N79,Select!D:H,5,FALSE)</f>
        <v>7</v>
      </c>
    </row>
    <row r="80" spans="1:15">
      <c r="A80" s="14">
        <v>1323</v>
      </c>
      <c r="B80" s="1" t="s">
        <v>22</v>
      </c>
      <c r="C80" s="6">
        <f>VLOOKUP(B80,Select!A:H,8,FALSE)</f>
        <v>3</v>
      </c>
      <c r="D80" s="1" t="s">
        <v>30</v>
      </c>
      <c r="E80" s="6">
        <f>VLOOKUP(D80,Select!B:H,7,FALSE)</f>
        <v>3</v>
      </c>
      <c r="F80" s="1" t="s">
        <v>3</v>
      </c>
      <c r="G80" s="6">
        <f>VLOOKUP(F80,Select!C:H,6,FALSE)</f>
        <v>0</v>
      </c>
      <c r="H80" s="1" t="s">
        <v>247</v>
      </c>
      <c r="I80" s="1">
        <v>4</v>
      </c>
      <c r="J80" s="1">
        <v>4</v>
      </c>
      <c r="K80" s="1">
        <v>5</v>
      </c>
      <c r="L80" s="1"/>
      <c r="M80" s="1" t="b">
        <v>1</v>
      </c>
      <c r="N80" s="1" t="s">
        <v>468</v>
      </c>
      <c r="O80" s="15">
        <f>VLOOKUP(N80,Select!D:H,5,FALSE)</f>
        <v>9</v>
      </c>
    </row>
    <row r="81" spans="1:15">
      <c r="A81" s="14">
        <v>1324</v>
      </c>
      <c r="B81" s="5" t="s">
        <v>22</v>
      </c>
      <c r="C81" s="6">
        <f>VLOOKUP(B81,Select!A:H,8,FALSE)</f>
        <v>3</v>
      </c>
      <c r="D81" s="5" t="s">
        <v>30</v>
      </c>
      <c r="E81" s="6">
        <f>VLOOKUP(D81,Select!B:H,7,FALSE)</f>
        <v>3</v>
      </c>
      <c r="F81" s="5" t="s">
        <v>3</v>
      </c>
      <c r="G81" s="6">
        <f>VLOOKUP(F81,Select!C:H,6,FALSE)</f>
        <v>0</v>
      </c>
      <c r="H81" s="1" t="s">
        <v>248</v>
      </c>
      <c r="I81" s="1">
        <v>10</v>
      </c>
      <c r="J81" s="1">
        <v>1</v>
      </c>
      <c r="K81" s="1">
        <v>1</v>
      </c>
      <c r="L81" s="1"/>
      <c r="M81" s="1" t="b">
        <v>1</v>
      </c>
      <c r="N81" s="1" t="s">
        <v>468</v>
      </c>
      <c r="O81" s="15">
        <f>VLOOKUP(N81,Select!D:H,5,FALSE)</f>
        <v>9</v>
      </c>
    </row>
    <row r="82" spans="1:15">
      <c r="A82" s="14">
        <v>1400</v>
      </c>
      <c r="B82" s="1" t="s">
        <v>26</v>
      </c>
      <c r="C82" s="6">
        <f>VLOOKUP(B82,Select!A:H,8,FALSE)</f>
        <v>4</v>
      </c>
      <c r="D82" s="1" t="s">
        <v>10</v>
      </c>
      <c r="E82" s="6">
        <f>VLOOKUP(D82,Select!B:H,7,FALSE)</f>
        <v>0</v>
      </c>
      <c r="F82" s="1" t="s">
        <v>3</v>
      </c>
      <c r="G82" s="6">
        <f>VLOOKUP(F82,Select!C:H,6,FALSE)</f>
        <v>0</v>
      </c>
      <c r="H82" s="1" t="s">
        <v>153</v>
      </c>
      <c r="I82" s="1">
        <v>2</v>
      </c>
      <c r="J82" s="1">
        <v>1</v>
      </c>
      <c r="K82" s="1">
        <v>1</v>
      </c>
      <c r="L82" s="1"/>
      <c r="M82" s="1" t="b">
        <v>0</v>
      </c>
      <c r="N82" s="1" t="s">
        <v>477</v>
      </c>
      <c r="O82" s="15">
        <f>VLOOKUP(N82,Select!D:H,5,FALSE)</f>
        <v>0</v>
      </c>
    </row>
    <row r="83" spans="1:15">
      <c r="A83" s="14">
        <v>1401</v>
      </c>
      <c r="B83" s="5" t="s">
        <v>26</v>
      </c>
      <c r="C83" s="6">
        <f>VLOOKUP(B83,Select!A:H,8,FALSE)</f>
        <v>4</v>
      </c>
      <c r="D83" s="5" t="s">
        <v>10</v>
      </c>
      <c r="E83" s="6">
        <f>VLOOKUP(D83,Select!B:H,7,FALSE)</f>
        <v>0</v>
      </c>
      <c r="F83" s="5" t="s">
        <v>3</v>
      </c>
      <c r="G83" s="6">
        <f>VLOOKUP(F83,Select!C:H,6,FALSE)</f>
        <v>0</v>
      </c>
      <c r="H83" s="1" t="s">
        <v>154</v>
      </c>
      <c r="I83" s="1">
        <v>4</v>
      </c>
      <c r="J83" s="1">
        <v>2</v>
      </c>
      <c r="K83" s="1">
        <v>2</v>
      </c>
      <c r="L83" s="1"/>
      <c r="M83" s="1" t="b">
        <v>0</v>
      </c>
      <c r="N83" s="1" t="s">
        <v>477</v>
      </c>
      <c r="O83" s="15">
        <f>VLOOKUP(N83,Select!D:H,5,FALSE)</f>
        <v>0</v>
      </c>
    </row>
    <row r="84" spans="1:15">
      <c r="A84" s="14">
        <v>1402</v>
      </c>
      <c r="B84" s="1" t="s">
        <v>26</v>
      </c>
      <c r="C84" s="6">
        <f>VLOOKUP(B84,Select!A:H,8,FALSE)</f>
        <v>4</v>
      </c>
      <c r="D84" s="1" t="s">
        <v>10</v>
      </c>
      <c r="E84" s="6">
        <f>VLOOKUP(D84,Select!B:H,7,FALSE)</f>
        <v>0</v>
      </c>
      <c r="F84" s="1" t="s">
        <v>3</v>
      </c>
      <c r="G84" s="6">
        <f>VLOOKUP(F84,Select!C:H,6,FALSE)</f>
        <v>0</v>
      </c>
      <c r="H84" s="1" t="s">
        <v>155</v>
      </c>
      <c r="I84" s="1">
        <v>4</v>
      </c>
      <c r="J84" s="1">
        <v>4</v>
      </c>
      <c r="K84" s="1">
        <v>4</v>
      </c>
      <c r="L84" s="1"/>
      <c r="M84" s="1" t="b">
        <v>0</v>
      </c>
      <c r="N84" s="1" t="s">
        <v>477</v>
      </c>
      <c r="O84" s="15">
        <f>VLOOKUP(N84,Select!D:H,5,FALSE)</f>
        <v>0</v>
      </c>
    </row>
    <row r="85" spans="1:15">
      <c r="A85" s="14">
        <v>1403</v>
      </c>
      <c r="B85" s="5" t="s">
        <v>26</v>
      </c>
      <c r="C85" s="6">
        <f>VLOOKUP(B85,Select!A:H,8,FALSE)</f>
        <v>4</v>
      </c>
      <c r="D85" s="5" t="s">
        <v>10</v>
      </c>
      <c r="E85" s="6">
        <f>VLOOKUP(D85,Select!B:H,7,FALSE)</f>
        <v>0</v>
      </c>
      <c r="F85" s="5" t="s">
        <v>3</v>
      </c>
      <c r="G85" s="6">
        <f>VLOOKUP(F85,Select!C:H,6,FALSE)</f>
        <v>0</v>
      </c>
      <c r="H85" s="1" t="s">
        <v>156</v>
      </c>
      <c r="I85" s="1">
        <v>5</v>
      </c>
      <c r="J85" s="1">
        <v>4</v>
      </c>
      <c r="K85" s="1">
        <v>6</v>
      </c>
      <c r="L85" s="1"/>
      <c r="M85" s="1" t="b">
        <v>0</v>
      </c>
      <c r="N85" s="1" t="s">
        <v>477</v>
      </c>
      <c r="O85" s="15">
        <f>VLOOKUP(N85,Select!D:H,5,FALSE)</f>
        <v>0</v>
      </c>
    </row>
    <row r="86" spans="1:15">
      <c r="A86" s="14">
        <v>1404</v>
      </c>
      <c r="B86" s="1" t="s">
        <v>26</v>
      </c>
      <c r="C86" s="6">
        <f>VLOOKUP(B86,Select!A:H,8,FALSE)</f>
        <v>4</v>
      </c>
      <c r="D86" s="1" t="s">
        <v>10</v>
      </c>
      <c r="E86" s="6">
        <f>VLOOKUP(D86,Select!B:H,7,FALSE)</f>
        <v>0</v>
      </c>
      <c r="F86" s="1" t="s">
        <v>3</v>
      </c>
      <c r="G86" s="6">
        <f>VLOOKUP(F86,Select!C:H,6,FALSE)</f>
        <v>0</v>
      </c>
      <c r="H86" s="1" t="s">
        <v>157</v>
      </c>
      <c r="I86" s="1">
        <v>8</v>
      </c>
      <c r="J86" s="1">
        <v>6</v>
      </c>
      <c r="K86" s="1">
        <v>6</v>
      </c>
      <c r="L86" s="1"/>
      <c r="M86" s="1" t="b">
        <v>0</v>
      </c>
      <c r="N86" s="1" t="s">
        <v>477</v>
      </c>
      <c r="O86" s="15">
        <f>VLOOKUP(N86,Select!D:H,5,FALSE)</f>
        <v>0</v>
      </c>
    </row>
    <row r="87" spans="1:15">
      <c r="A87" s="14">
        <v>1405</v>
      </c>
      <c r="B87" s="5" t="s">
        <v>26</v>
      </c>
      <c r="C87" s="6">
        <f>VLOOKUP(B87,Select!A:H,8,FALSE)</f>
        <v>4</v>
      </c>
      <c r="D87" s="5" t="s">
        <v>10</v>
      </c>
      <c r="E87" s="6">
        <f>VLOOKUP(D87,Select!B:H,7,FALSE)</f>
        <v>0</v>
      </c>
      <c r="F87" s="5" t="s">
        <v>23</v>
      </c>
      <c r="G87" s="6">
        <f>VLOOKUP(F87,Select!C:H,6,FALSE)</f>
        <v>1</v>
      </c>
      <c r="H87" s="1" t="s">
        <v>158</v>
      </c>
      <c r="I87" s="1">
        <v>6</v>
      </c>
      <c r="J87" s="1"/>
      <c r="K87" s="1"/>
      <c r="L87" s="1"/>
      <c r="M87" s="1" t="b">
        <v>0</v>
      </c>
      <c r="N87" s="1" t="s">
        <v>477</v>
      </c>
      <c r="O87" s="15">
        <f>VLOOKUP(N87,Select!D:H,5,FALSE)</f>
        <v>0</v>
      </c>
    </row>
    <row r="88" spans="1:15">
      <c r="A88" s="14">
        <v>1406</v>
      </c>
      <c r="B88" s="1" t="s">
        <v>26</v>
      </c>
      <c r="C88" s="6">
        <f>VLOOKUP(B88,Select!A:H,8,FALSE)</f>
        <v>4</v>
      </c>
      <c r="D88" s="1" t="s">
        <v>36</v>
      </c>
      <c r="E88" s="6">
        <f>VLOOKUP(D88,Select!B:H,7,FALSE)</f>
        <v>1</v>
      </c>
      <c r="F88" s="1" t="s">
        <v>3</v>
      </c>
      <c r="G88" s="6">
        <f>VLOOKUP(F88,Select!C:H,6,FALSE)</f>
        <v>0</v>
      </c>
      <c r="H88" s="1" t="s">
        <v>159</v>
      </c>
      <c r="I88" s="1">
        <v>3</v>
      </c>
      <c r="J88" s="1">
        <v>2</v>
      </c>
      <c r="K88" s="1">
        <v>1</v>
      </c>
      <c r="L88" s="1"/>
      <c r="M88" s="1" t="b">
        <v>0</v>
      </c>
      <c r="N88" s="1" t="s">
        <v>477</v>
      </c>
      <c r="O88" s="15">
        <f>VLOOKUP(N88,Select!D:H,5,FALSE)</f>
        <v>0</v>
      </c>
    </row>
    <row r="89" spans="1:15">
      <c r="A89" s="14">
        <v>1407</v>
      </c>
      <c r="B89" s="5" t="s">
        <v>26</v>
      </c>
      <c r="C89" s="6">
        <f>VLOOKUP(B89,Select!A:H,8,FALSE)</f>
        <v>4</v>
      </c>
      <c r="D89" s="5" t="s">
        <v>36</v>
      </c>
      <c r="E89" s="6">
        <f>VLOOKUP(D89,Select!B:H,7,FALSE)</f>
        <v>1</v>
      </c>
      <c r="F89" s="5" t="s">
        <v>3</v>
      </c>
      <c r="G89" s="6">
        <f>VLOOKUP(F89,Select!C:H,6,FALSE)</f>
        <v>0</v>
      </c>
      <c r="H89" s="1" t="s">
        <v>160</v>
      </c>
      <c r="I89" s="1">
        <v>3</v>
      </c>
      <c r="J89" s="1">
        <v>3</v>
      </c>
      <c r="K89" s="1">
        <v>3</v>
      </c>
      <c r="L89" s="1"/>
      <c r="M89" s="1" t="b">
        <v>0</v>
      </c>
      <c r="N89" s="1" t="s">
        <v>477</v>
      </c>
      <c r="O89" s="15">
        <f>VLOOKUP(N89,Select!D:H,5,FALSE)</f>
        <v>0</v>
      </c>
    </row>
    <row r="90" spans="1:15">
      <c r="A90" s="14">
        <v>1408</v>
      </c>
      <c r="B90" s="1" t="s">
        <v>26</v>
      </c>
      <c r="C90" s="6">
        <f>VLOOKUP(B90,Select!A:H,8,FALSE)</f>
        <v>4</v>
      </c>
      <c r="D90" s="1" t="s">
        <v>36</v>
      </c>
      <c r="E90" s="6">
        <f>VLOOKUP(D90,Select!B:H,7,FALSE)</f>
        <v>1</v>
      </c>
      <c r="F90" s="1" t="s">
        <v>3</v>
      </c>
      <c r="G90" s="6">
        <f>VLOOKUP(F90,Select!C:H,6,FALSE)</f>
        <v>0</v>
      </c>
      <c r="H90" s="1" t="s">
        <v>161</v>
      </c>
      <c r="I90" s="1">
        <v>4</v>
      </c>
      <c r="J90" s="1">
        <v>3</v>
      </c>
      <c r="K90" s="1">
        <v>3</v>
      </c>
      <c r="L90" s="1"/>
      <c r="M90" s="1" t="b">
        <v>0</v>
      </c>
      <c r="N90" s="1" t="s">
        <v>477</v>
      </c>
      <c r="O90" s="15">
        <f>VLOOKUP(N90,Select!D:H,5,FALSE)</f>
        <v>0</v>
      </c>
    </row>
    <row r="91" spans="1:15">
      <c r="A91" s="14">
        <v>1409</v>
      </c>
      <c r="B91" s="5" t="s">
        <v>26</v>
      </c>
      <c r="C91" s="6">
        <f>VLOOKUP(B91,Select!A:H,8,FALSE)</f>
        <v>4</v>
      </c>
      <c r="D91" s="5" t="s">
        <v>12</v>
      </c>
      <c r="E91" s="6">
        <f>VLOOKUP(D91,Select!B:H,7,FALSE)</f>
        <v>1</v>
      </c>
      <c r="F91" s="5" t="s">
        <v>3</v>
      </c>
      <c r="G91" s="6">
        <f>VLOOKUP(F91,Select!C:H,6,FALSE)</f>
        <v>0</v>
      </c>
      <c r="H91" s="1" t="s">
        <v>162</v>
      </c>
      <c r="I91" s="1">
        <v>6</v>
      </c>
      <c r="J91" s="1">
        <v>8</v>
      </c>
      <c r="K91" s="1">
        <v>7</v>
      </c>
      <c r="L91" s="1"/>
      <c r="M91" s="1" t="b">
        <v>0</v>
      </c>
      <c r="N91" s="1" t="s">
        <v>477</v>
      </c>
      <c r="O91" s="15">
        <f>VLOOKUP(N91,Select!D:H,5,FALSE)</f>
        <v>0</v>
      </c>
    </row>
    <row r="92" spans="1:15">
      <c r="A92" s="14">
        <v>1410</v>
      </c>
      <c r="B92" s="1" t="s">
        <v>26</v>
      </c>
      <c r="C92" s="6">
        <f>VLOOKUP(B92,Select!A:H,8,FALSE)</f>
        <v>4</v>
      </c>
      <c r="D92" s="1" t="s">
        <v>36</v>
      </c>
      <c r="E92" s="6">
        <f>VLOOKUP(D92,Select!B:H,7,FALSE)</f>
        <v>1</v>
      </c>
      <c r="F92" s="1" t="s">
        <v>23</v>
      </c>
      <c r="G92" s="6">
        <f>VLOOKUP(F92,Select!C:H,6,FALSE)</f>
        <v>1</v>
      </c>
      <c r="H92" s="1" t="s">
        <v>163</v>
      </c>
      <c r="I92" s="1">
        <v>3</v>
      </c>
      <c r="J92" s="1"/>
      <c r="K92" s="1"/>
      <c r="L92" s="1"/>
      <c r="M92" s="1" t="b">
        <v>0</v>
      </c>
      <c r="N92" s="1" t="s">
        <v>477</v>
      </c>
      <c r="O92" s="15">
        <f>VLOOKUP(N92,Select!D:H,5,FALSE)</f>
        <v>0</v>
      </c>
    </row>
    <row r="93" spans="1:15">
      <c r="A93" s="14">
        <v>1411</v>
      </c>
      <c r="B93" s="5" t="s">
        <v>26</v>
      </c>
      <c r="C93" s="6">
        <f>VLOOKUP(B93,Select!A:H,8,FALSE)</f>
        <v>4</v>
      </c>
      <c r="D93" s="5" t="s">
        <v>21</v>
      </c>
      <c r="E93" s="6">
        <f>VLOOKUP(D93,Select!B:H,7,FALSE)</f>
        <v>2</v>
      </c>
      <c r="F93" s="5" t="s">
        <v>3</v>
      </c>
      <c r="G93" s="6">
        <f>VLOOKUP(F93,Select!C:H,6,FALSE)</f>
        <v>0</v>
      </c>
      <c r="H93" s="1" t="s">
        <v>164</v>
      </c>
      <c r="I93" s="1">
        <v>3</v>
      </c>
      <c r="J93" s="1">
        <v>3</v>
      </c>
      <c r="K93" s="1">
        <v>3</v>
      </c>
      <c r="L93" s="1"/>
      <c r="M93" s="1" t="b">
        <v>0</v>
      </c>
      <c r="N93" s="1" t="s">
        <v>477</v>
      </c>
      <c r="O93" s="15">
        <f>VLOOKUP(N93,Select!D:H,5,FALSE)</f>
        <v>0</v>
      </c>
    </row>
    <row r="94" spans="1:15">
      <c r="A94" s="14">
        <v>1412</v>
      </c>
      <c r="B94" s="1" t="s">
        <v>26</v>
      </c>
      <c r="C94" s="6">
        <f>VLOOKUP(B94,Select!A:H,8,FALSE)</f>
        <v>4</v>
      </c>
      <c r="D94" s="1" t="s">
        <v>21</v>
      </c>
      <c r="E94" s="6">
        <f>VLOOKUP(D94,Select!B:H,7,FALSE)</f>
        <v>2</v>
      </c>
      <c r="F94" s="1" t="s">
        <v>3</v>
      </c>
      <c r="G94" s="6">
        <f>VLOOKUP(F94,Select!C:H,6,FALSE)</f>
        <v>0</v>
      </c>
      <c r="H94" s="1" t="s">
        <v>165</v>
      </c>
      <c r="I94" s="1">
        <v>6</v>
      </c>
      <c r="J94" s="1">
        <v>3</v>
      </c>
      <c r="K94" s="1">
        <v>3</v>
      </c>
      <c r="L94" s="1"/>
      <c r="M94" s="1" t="b">
        <v>0</v>
      </c>
      <c r="N94" s="1" t="s">
        <v>477</v>
      </c>
      <c r="O94" s="15">
        <f>VLOOKUP(N94,Select!D:H,5,FALSE)</f>
        <v>0</v>
      </c>
    </row>
    <row r="95" spans="1:15">
      <c r="A95" s="14">
        <v>1413</v>
      </c>
      <c r="B95" s="5" t="s">
        <v>26</v>
      </c>
      <c r="C95" s="6">
        <f>VLOOKUP(B95,Select!A:H,8,FALSE)</f>
        <v>4</v>
      </c>
      <c r="D95" s="5" t="s">
        <v>21</v>
      </c>
      <c r="E95" s="6">
        <f>VLOOKUP(D95,Select!B:H,7,FALSE)</f>
        <v>2</v>
      </c>
      <c r="F95" s="5" t="s">
        <v>3</v>
      </c>
      <c r="G95" s="6">
        <f>VLOOKUP(F95,Select!C:H,6,FALSE)</f>
        <v>0</v>
      </c>
      <c r="H95" s="1" t="s">
        <v>166</v>
      </c>
      <c r="I95" s="1">
        <v>9</v>
      </c>
      <c r="J95" s="1">
        <v>9</v>
      </c>
      <c r="K95" s="1">
        <v>9</v>
      </c>
      <c r="L95" s="1"/>
      <c r="M95" s="1" t="b">
        <v>0</v>
      </c>
      <c r="N95" s="1" t="s">
        <v>477</v>
      </c>
      <c r="O95" s="15">
        <f>VLOOKUP(N95,Select!D:H,5,FALSE)</f>
        <v>0</v>
      </c>
    </row>
    <row r="96" spans="1:15">
      <c r="A96" s="14">
        <v>1414</v>
      </c>
      <c r="B96" s="1" t="s">
        <v>26</v>
      </c>
      <c r="C96" s="6">
        <f>VLOOKUP(B96,Select!A:H,8,FALSE)</f>
        <v>4</v>
      </c>
      <c r="D96" s="1" t="s">
        <v>13</v>
      </c>
      <c r="E96" s="6">
        <f>VLOOKUP(D96,Select!B:H,7,FALSE)</f>
        <v>2</v>
      </c>
      <c r="F96" s="1" t="s">
        <v>3</v>
      </c>
      <c r="G96" s="6">
        <f>VLOOKUP(F96,Select!C:H,6,FALSE)</f>
        <v>0</v>
      </c>
      <c r="H96" s="1" t="s">
        <v>167</v>
      </c>
      <c r="I96" s="1">
        <v>10</v>
      </c>
      <c r="J96" s="1">
        <v>9</v>
      </c>
      <c r="K96" s="1">
        <v>10</v>
      </c>
      <c r="L96" s="1"/>
      <c r="M96" s="1" t="b">
        <v>0</v>
      </c>
      <c r="N96" s="1" t="s">
        <v>477</v>
      </c>
      <c r="O96" s="15">
        <f>VLOOKUP(N96,Select!D:H,5,FALSE)</f>
        <v>0</v>
      </c>
    </row>
    <row r="97" spans="1:15">
      <c r="A97" s="14">
        <v>1415</v>
      </c>
      <c r="B97" s="5" t="s">
        <v>26</v>
      </c>
      <c r="C97" s="6">
        <f>VLOOKUP(B97,Select!A:H,8,FALSE)</f>
        <v>4</v>
      </c>
      <c r="D97" s="5" t="s">
        <v>21</v>
      </c>
      <c r="E97" s="6">
        <f>VLOOKUP(D97,Select!B:H,7,FALSE)</f>
        <v>2</v>
      </c>
      <c r="F97" s="5" t="s">
        <v>34</v>
      </c>
      <c r="G97" s="6">
        <f>VLOOKUP(F97,Select!C:H,6,FALSE)</f>
        <v>2</v>
      </c>
      <c r="H97" s="1" t="s">
        <v>168</v>
      </c>
      <c r="I97" s="1">
        <v>1</v>
      </c>
      <c r="J97" s="1"/>
      <c r="K97" s="1"/>
      <c r="L97" s="1"/>
      <c r="M97" s="1" t="b">
        <v>0</v>
      </c>
      <c r="N97" s="1" t="s">
        <v>477</v>
      </c>
      <c r="O97" s="15">
        <f>VLOOKUP(N97,Select!D:H,5,FALSE)</f>
        <v>0</v>
      </c>
    </row>
    <row r="98" spans="1:15">
      <c r="A98" s="14">
        <v>1416</v>
      </c>
      <c r="B98" s="1" t="s">
        <v>26</v>
      </c>
      <c r="C98" s="6">
        <f>VLOOKUP(B98,Select!A:H,8,FALSE)</f>
        <v>4</v>
      </c>
      <c r="D98" s="1" t="s">
        <v>30</v>
      </c>
      <c r="E98" s="6">
        <f>VLOOKUP(D98,Select!B:H,7,FALSE)</f>
        <v>3</v>
      </c>
      <c r="F98" s="1" t="s">
        <v>3</v>
      </c>
      <c r="G98" s="6">
        <f>VLOOKUP(F98,Select!C:H,6,FALSE)</f>
        <v>0</v>
      </c>
      <c r="H98" s="1" t="s">
        <v>169</v>
      </c>
      <c r="I98" s="1">
        <v>6</v>
      </c>
      <c r="J98" s="1">
        <v>5</v>
      </c>
      <c r="K98" s="1">
        <v>2</v>
      </c>
      <c r="L98" s="1"/>
      <c r="M98" s="1" t="b">
        <v>0</v>
      </c>
      <c r="N98" s="1" t="s">
        <v>477</v>
      </c>
      <c r="O98" s="15">
        <f>VLOOKUP(N98,Select!D:H,5,FALSE)</f>
        <v>0</v>
      </c>
    </row>
    <row r="99" spans="1:15">
      <c r="A99" s="14">
        <v>1417</v>
      </c>
      <c r="B99" s="5" t="s">
        <v>26</v>
      </c>
      <c r="C99" s="6">
        <f>VLOOKUP(B99,Select!A:H,8,FALSE)</f>
        <v>4</v>
      </c>
      <c r="D99" s="5" t="s">
        <v>30</v>
      </c>
      <c r="E99" s="6">
        <f>VLOOKUP(D99,Select!B:H,7,FALSE)</f>
        <v>3</v>
      </c>
      <c r="F99" s="5" t="s">
        <v>3</v>
      </c>
      <c r="G99" s="6">
        <f>VLOOKUP(F99,Select!C:H,6,FALSE)</f>
        <v>0</v>
      </c>
      <c r="H99" s="1" t="s">
        <v>170</v>
      </c>
      <c r="I99" s="1">
        <v>7</v>
      </c>
      <c r="J99" s="1">
        <v>7</v>
      </c>
      <c r="K99" s="1">
        <v>7</v>
      </c>
      <c r="L99" s="1"/>
      <c r="M99" s="1" t="b">
        <v>0</v>
      </c>
      <c r="N99" s="1" t="s">
        <v>485</v>
      </c>
      <c r="O99" s="15">
        <f>VLOOKUP(N99,Select!D:H,5,FALSE)</f>
        <v>15</v>
      </c>
    </row>
    <row r="100" spans="1:15">
      <c r="A100" s="14">
        <v>1418</v>
      </c>
      <c r="B100" s="1" t="s">
        <v>26</v>
      </c>
      <c r="C100" s="6">
        <f>VLOOKUP(B100,Select!A:H,8,FALSE)</f>
        <v>4</v>
      </c>
      <c r="D100" s="1" t="s">
        <v>14</v>
      </c>
      <c r="E100" s="6">
        <f>VLOOKUP(D100,Select!B:H,7,FALSE)</f>
        <v>3</v>
      </c>
      <c r="F100" s="1" t="s">
        <v>3</v>
      </c>
      <c r="G100" s="6">
        <f>VLOOKUP(F100,Select!C:H,6,FALSE)</f>
        <v>0</v>
      </c>
      <c r="H100" s="1" t="s">
        <v>171</v>
      </c>
      <c r="I100" s="1">
        <v>8</v>
      </c>
      <c r="J100" s="1">
        <v>5</v>
      </c>
      <c r="K100" s="1">
        <v>5</v>
      </c>
      <c r="L100" s="1"/>
      <c r="M100" s="1" t="b">
        <v>0</v>
      </c>
      <c r="N100" s="1" t="s">
        <v>477</v>
      </c>
      <c r="O100" s="15">
        <f>VLOOKUP(N100,Select!D:H,5,FALSE)</f>
        <v>0</v>
      </c>
    </row>
    <row r="101" spans="1:15">
      <c r="A101" s="14">
        <v>1419</v>
      </c>
      <c r="B101" s="5" t="s">
        <v>26</v>
      </c>
      <c r="C101" s="6">
        <f>VLOOKUP(B101,Select!A:H,8,FALSE)</f>
        <v>4</v>
      </c>
      <c r="D101" s="5" t="s">
        <v>10</v>
      </c>
      <c r="E101" s="6">
        <f>VLOOKUP(D101,Select!B:H,7,FALSE)</f>
        <v>0</v>
      </c>
      <c r="F101" s="5" t="s">
        <v>3</v>
      </c>
      <c r="G101" s="6">
        <f>VLOOKUP(F101,Select!C:H,6,FALSE)</f>
        <v>0</v>
      </c>
      <c r="H101" s="1" t="s">
        <v>249</v>
      </c>
      <c r="I101" s="1">
        <v>1</v>
      </c>
      <c r="J101" s="1">
        <v>1</v>
      </c>
      <c r="K101" s="1">
        <v>1</v>
      </c>
      <c r="L101" s="1"/>
      <c r="M101" s="1" t="b">
        <v>1</v>
      </c>
      <c r="N101" s="1" t="s">
        <v>477</v>
      </c>
      <c r="O101" s="15">
        <f>VLOOKUP(N101,Select!D:H,5,FALSE)</f>
        <v>0</v>
      </c>
    </row>
    <row r="102" spans="1:15">
      <c r="A102" s="14">
        <v>1420</v>
      </c>
      <c r="B102" s="1" t="s">
        <v>26</v>
      </c>
      <c r="C102" s="6">
        <f>VLOOKUP(B102,Select!A:H,8,FALSE)</f>
        <v>4</v>
      </c>
      <c r="D102" s="1" t="s">
        <v>21</v>
      </c>
      <c r="E102" s="6">
        <f>VLOOKUP(D102,Select!B:H,7,FALSE)</f>
        <v>2</v>
      </c>
      <c r="F102" s="1" t="s">
        <v>3</v>
      </c>
      <c r="G102" s="6">
        <f>VLOOKUP(F102,Select!C:H,6,FALSE)</f>
        <v>0</v>
      </c>
      <c r="H102" s="1" t="s">
        <v>250</v>
      </c>
      <c r="I102" s="1">
        <v>3</v>
      </c>
      <c r="J102" s="1">
        <v>2</v>
      </c>
      <c r="K102" s="1">
        <v>2</v>
      </c>
      <c r="L102" s="1"/>
      <c r="M102" s="1" t="b">
        <v>1</v>
      </c>
      <c r="N102" s="1" t="s">
        <v>471</v>
      </c>
      <c r="O102" s="15">
        <f>VLOOKUP(N102,Select!D:H,5,FALSE)</f>
        <v>12</v>
      </c>
    </row>
    <row r="103" spans="1:15">
      <c r="A103" s="14">
        <v>1421</v>
      </c>
      <c r="B103" s="5" t="s">
        <v>26</v>
      </c>
      <c r="C103" s="6">
        <f>VLOOKUP(B103,Select!A:H,8,FALSE)</f>
        <v>4</v>
      </c>
      <c r="D103" s="5" t="s">
        <v>14</v>
      </c>
      <c r="E103" s="6">
        <f>VLOOKUP(D103,Select!B:H,7,FALSE)</f>
        <v>3</v>
      </c>
      <c r="F103" s="5" t="s">
        <v>3</v>
      </c>
      <c r="G103" s="6">
        <f>VLOOKUP(F103,Select!C:H,6,FALSE)</f>
        <v>0</v>
      </c>
      <c r="H103" s="1" t="s">
        <v>251</v>
      </c>
      <c r="I103" s="1">
        <v>4</v>
      </c>
      <c r="J103" s="1">
        <v>4</v>
      </c>
      <c r="K103" s="1">
        <v>5</v>
      </c>
      <c r="L103" s="1"/>
      <c r="M103" s="1" t="b">
        <v>1</v>
      </c>
      <c r="N103" s="1" t="s">
        <v>477</v>
      </c>
      <c r="O103" s="15">
        <f>VLOOKUP(N103,Select!D:H,5,FALSE)</f>
        <v>0</v>
      </c>
    </row>
    <row r="104" spans="1:15">
      <c r="A104" s="14">
        <v>1422</v>
      </c>
      <c r="B104" s="1" t="s">
        <v>26</v>
      </c>
      <c r="C104" s="6">
        <f>VLOOKUP(B104,Select!A:H,8,FALSE)</f>
        <v>4</v>
      </c>
      <c r="D104" s="1" t="s">
        <v>14</v>
      </c>
      <c r="E104" s="6">
        <f>VLOOKUP(D104,Select!B:H,7,FALSE)</f>
        <v>3</v>
      </c>
      <c r="F104" s="1" t="s">
        <v>3</v>
      </c>
      <c r="G104" s="6">
        <f>VLOOKUP(F104,Select!C:H,6,FALSE)</f>
        <v>0</v>
      </c>
      <c r="H104" s="1" t="s">
        <v>252</v>
      </c>
      <c r="I104" s="1">
        <v>4</v>
      </c>
      <c r="J104" s="1">
        <v>5</v>
      </c>
      <c r="K104" s="1">
        <v>4</v>
      </c>
      <c r="L104" s="1"/>
      <c r="M104" s="1" t="b">
        <v>1</v>
      </c>
      <c r="N104" s="1" t="s">
        <v>477</v>
      </c>
      <c r="O104" s="15">
        <f>VLOOKUP(N104,Select!D:H,5,FALSE)</f>
        <v>0</v>
      </c>
    </row>
    <row r="105" spans="1:15">
      <c r="A105" s="14">
        <v>1500</v>
      </c>
      <c r="B105" s="5" t="s">
        <v>27</v>
      </c>
      <c r="C105" s="6">
        <f>VLOOKUP(B105,Select!A:H,8,FALSE)</f>
        <v>5</v>
      </c>
      <c r="D105" s="5" t="s">
        <v>10</v>
      </c>
      <c r="E105" s="6">
        <f>VLOOKUP(D105,Select!B:H,7,FALSE)</f>
        <v>0</v>
      </c>
      <c r="F105" s="5" t="s">
        <v>3</v>
      </c>
      <c r="G105" s="6">
        <f>VLOOKUP(F105,Select!C:H,6,FALSE)</f>
        <v>0</v>
      </c>
      <c r="H105" s="1" t="s">
        <v>172</v>
      </c>
      <c r="I105" s="1">
        <v>2</v>
      </c>
      <c r="J105" s="1">
        <v>2</v>
      </c>
      <c r="K105" s="1">
        <v>2</v>
      </c>
      <c r="L105" s="1"/>
      <c r="M105" s="1" t="b">
        <v>0</v>
      </c>
      <c r="N105" s="1" t="s">
        <v>477</v>
      </c>
      <c r="O105" s="15">
        <f>VLOOKUP(N105,Select!D:H,5,FALSE)</f>
        <v>0</v>
      </c>
    </row>
    <row r="106" spans="1:15">
      <c r="A106" s="14">
        <v>1501</v>
      </c>
      <c r="B106" s="1" t="s">
        <v>27</v>
      </c>
      <c r="C106" s="6">
        <f>VLOOKUP(B106,Select!A:H,8,FALSE)</f>
        <v>5</v>
      </c>
      <c r="D106" s="1" t="s">
        <v>10</v>
      </c>
      <c r="E106" s="6">
        <f>VLOOKUP(D106,Select!B:H,7,FALSE)</f>
        <v>0</v>
      </c>
      <c r="F106" s="1" t="s">
        <v>3</v>
      </c>
      <c r="G106" s="6">
        <f>VLOOKUP(F106,Select!C:H,6,FALSE)</f>
        <v>0</v>
      </c>
      <c r="H106" s="1" t="s">
        <v>173</v>
      </c>
      <c r="I106" s="1">
        <v>3</v>
      </c>
      <c r="J106" s="1">
        <v>1</v>
      </c>
      <c r="K106" s="1">
        <v>1</v>
      </c>
      <c r="L106" s="1"/>
      <c r="M106" s="1" t="b">
        <v>0</v>
      </c>
      <c r="N106" s="1" t="s">
        <v>477</v>
      </c>
      <c r="O106" s="15">
        <f>VLOOKUP(N106,Select!D:H,5,FALSE)</f>
        <v>0</v>
      </c>
    </row>
    <row r="107" spans="1:15">
      <c r="A107" s="14">
        <v>1502</v>
      </c>
      <c r="B107" s="5" t="s">
        <v>27</v>
      </c>
      <c r="C107" s="6">
        <f>VLOOKUP(B107,Select!A:H,8,FALSE)</f>
        <v>5</v>
      </c>
      <c r="D107" s="5" t="s">
        <v>10</v>
      </c>
      <c r="E107" s="6">
        <f>VLOOKUP(D107,Select!B:H,7,FALSE)</f>
        <v>0</v>
      </c>
      <c r="F107" s="5" t="s">
        <v>3</v>
      </c>
      <c r="G107" s="6">
        <f>VLOOKUP(F107,Select!C:H,6,FALSE)</f>
        <v>0</v>
      </c>
      <c r="H107" s="1" t="s">
        <v>174</v>
      </c>
      <c r="I107" s="1">
        <v>3</v>
      </c>
      <c r="J107" s="1">
        <v>1</v>
      </c>
      <c r="K107" s="1">
        <v>2</v>
      </c>
      <c r="L107" s="1"/>
      <c r="M107" s="1" t="b">
        <v>0</v>
      </c>
      <c r="N107" s="1" t="s">
        <v>477</v>
      </c>
      <c r="O107" s="15">
        <f>VLOOKUP(N107,Select!D:H,5,FALSE)</f>
        <v>0</v>
      </c>
    </row>
    <row r="108" spans="1:15">
      <c r="A108" s="14">
        <v>1503</v>
      </c>
      <c r="B108" s="1" t="s">
        <v>27</v>
      </c>
      <c r="C108" s="6">
        <f>VLOOKUP(B108,Select!A:H,8,FALSE)</f>
        <v>5</v>
      </c>
      <c r="D108" s="1" t="s">
        <v>10</v>
      </c>
      <c r="E108" s="6">
        <f>VLOOKUP(D108,Select!B:H,7,FALSE)</f>
        <v>0</v>
      </c>
      <c r="F108" s="1" t="s">
        <v>3</v>
      </c>
      <c r="G108" s="6">
        <f>VLOOKUP(F108,Select!C:H,6,FALSE)</f>
        <v>0</v>
      </c>
      <c r="H108" s="1" t="s">
        <v>175</v>
      </c>
      <c r="I108" s="1">
        <v>5</v>
      </c>
      <c r="J108" s="1">
        <v>4</v>
      </c>
      <c r="K108" s="1">
        <v>4</v>
      </c>
      <c r="L108" s="1"/>
      <c r="M108" s="1" t="b">
        <v>0</v>
      </c>
      <c r="N108" s="1" t="s">
        <v>477</v>
      </c>
      <c r="O108" s="15">
        <f>VLOOKUP(N108,Select!D:H,5,FALSE)</f>
        <v>0</v>
      </c>
    </row>
    <row r="109" spans="1:15">
      <c r="A109" s="14">
        <v>1504</v>
      </c>
      <c r="B109" s="5" t="s">
        <v>27</v>
      </c>
      <c r="C109" s="6">
        <f>VLOOKUP(B109,Select!A:H,8,FALSE)</f>
        <v>5</v>
      </c>
      <c r="D109" s="5" t="s">
        <v>10</v>
      </c>
      <c r="E109" s="6">
        <f>VLOOKUP(D109,Select!B:H,7,FALSE)</f>
        <v>0</v>
      </c>
      <c r="F109" s="5" t="s">
        <v>3</v>
      </c>
      <c r="G109" s="6">
        <f>VLOOKUP(F109,Select!C:H,6,FALSE)</f>
        <v>0</v>
      </c>
      <c r="H109" s="1" t="s">
        <v>176</v>
      </c>
      <c r="I109" s="1">
        <v>6</v>
      </c>
      <c r="J109" s="1">
        <v>5</v>
      </c>
      <c r="K109" s="1">
        <v>5</v>
      </c>
      <c r="L109" s="1"/>
      <c r="M109" s="1" t="b">
        <v>0</v>
      </c>
      <c r="N109" s="1" t="s">
        <v>477</v>
      </c>
      <c r="O109" s="15">
        <f>VLOOKUP(N109,Select!D:H,5,FALSE)</f>
        <v>0</v>
      </c>
    </row>
    <row r="110" spans="1:15">
      <c r="A110" s="14">
        <v>1505</v>
      </c>
      <c r="B110" s="1" t="s">
        <v>27</v>
      </c>
      <c r="C110" s="6">
        <f>VLOOKUP(B110,Select!A:H,8,FALSE)</f>
        <v>5</v>
      </c>
      <c r="D110" s="1" t="s">
        <v>10</v>
      </c>
      <c r="E110" s="6">
        <f>VLOOKUP(D110,Select!B:H,7,FALSE)</f>
        <v>0</v>
      </c>
      <c r="F110" s="1" t="s">
        <v>23</v>
      </c>
      <c r="G110" s="6">
        <f>VLOOKUP(F110,Select!C:H,6,FALSE)</f>
        <v>1</v>
      </c>
      <c r="H110" s="1" t="s">
        <v>177</v>
      </c>
      <c r="I110" s="1">
        <v>1</v>
      </c>
      <c r="J110" s="1"/>
      <c r="K110" s="1"/>
      <c r="L110" s="1"/>
      <c r="M110" s="1" t="b">
        <v>0</v>
      </c>
      <c r="N110" s="1" t="s">
        <v>477</v>
      </c>
      <c r="O110" s="15">
        <f>VLOOKUP(N110,Select!D:H,5,FALSE)</f>
        <v>0</v>
      </c>
    </row>
    <row r="111" spans="1:15">
      <c r="A111" s="14">
        <v>1506</v>
      </c>
      <c r="B111" s="5" t="s">
        <v>27</v>
      </c>
      <c r="C111" s="6">
        <f>VLOOKUP(B111,Select!A:H,8,FALSE)</f>
        <v>5</v>
      </c>
      <c r="D111" s="5" t="s">
        <v>36</v>
      </c>
      <c r="E111" s="6">
        <f>VLOOKUP(D111,Select!B:H,7,FALSE)</f>
        <v>1</v>
      </c>
      <c r="F111" s="5" t="s">
        <v>3</v>
      </c>
      <c r="G111" s="6">
        <f>VLOOKUP(F111,Select!C:H,6,FALSE)</f>
        <v>0</v>
      </c>
      <c r="H111" s="1" t="s">
        <v>178</v>
      </c>
      <c r="I111" s="1">
        <v>2</v>
      </c>
      <c r="J111" s="1">
        <v>2</v>
      </c>
      <c r="K111" s="1">
        <v>1</v>
      </c>
      <c r="L111" s="1"/>
      <c r="M111" s="1" t="b">
        <v>0</v>
      </c>
      <c r="N111" s="1" t="s">
        <v>477</v>
      </c>
      <c r="O111" s="15">
        <f>VLOOKUP(N111,Select!D:H,5,FALSE)</f>
        <v>0</v>
      </c>
    </row>
    <row r="112" spans="1:15">
      <c r="A112" s="14">
        <v>1507</v>
      </c>
      <c r="B112" s="1" t="s">
        <v>27</v>
      </c>
      <c r="C112" s="6">
        <f>VLOOKUP(B112,Select!A:H,8,FALSE)</f>
        <v>5</v>
      </c>
      <c r="D112" s="1" t="s">
        <v>12</v>
      </c>
      <c r="E112" s="6">
        <f>VLOOKUP(D112,Select!B:H,7,FALSE)</f>
        <v>1</v>
      </c>
      <c r="F112" s="1" t="s">
        <v>3</v>
      </c>
      <c r="G112" s="6">
        <f>VLOOKUP(F112,Select!C:H,6,FALSE)</f>
        <v>0</v>
      </c>
      <c r="H112" s="1" t="s">
        <v>179</v>
      </c>
      <c r="I112" s="1">
        <v>2</v>
      </c>
      <c r="J112" s="1">
        <v>3</v>
      </c>
      <c r="K112" s="1">
        <v>3</v>
      </c>
      <c r="L112" s="1"/>
      <c r="M112" s="1" t="b">
        <v>0</v>
      </c>
      <c r="N112" s="1" t="s">
        <v>477</v>
      </c>
      <c r="O112" s="15">
        <f>VLOOKUP(N112,Select!D:H,5,FALSE)</f>
        <v>0</v>
      </c>
    </row>
    <row r="113" spans="1:15">
      <c r="A113" s="14">
        <v>1508</v>
      </c>
      <c r="B113" s="5" t="s">
        <v>27</v>
      </c>
      <c r="C113" s="6">
        <f>VLOOKUP(B113,Select!A:H,8,FALSE)</f>
        <v>5</v>
      </c>
      <c r="D113" s="5" t="s">
        <v>12</v>
      </c>
      <c r="E113" s="6">
        <f>VLOOKUP(D113,Select!B:H,7,FALSE)</f>
        <v>1</v>
      </c>
      <c r="F113" s="5" t="s">
        <v>3</v>
      </c>
      <c r="G113" s="6">
        <f>VLOOKUP(F113,Select!C:H,6,FALSE)</f>
        <v>0</v>
      </c>
      <c r="H113" s="1" t="s">
        <v>180</v>
      </c>
      <c r="I113" s="1">
        <v>4</v>
      </c>
      <c r="J113" s="1">
        <v>3</v>
      </c>
      <c r="K113" s="1">
        <v>5</v>
      </c>
      <c r="L113" s="1"/>
      <c r="M113" s="1" t="b">
        <v>0</v>
      </c>
      <c r="N113" s="1" t="s">
        <v>477</v>
      </c>
      <c r="O113" s="15">
        <f>VLOOKUP(N113,Select!D:H,5,FALSE)</f>
        <v>0</v>
      </c>
    </row>
    <row r="114" spans="1:15">
      <c r="A114" s="14">
        <v>1509</v>
      </c>
      <c r="B114" s="1" t="s">
        <v>27</v>
      </c>
      <c r="C114" s="6">
        <f>VLOOKUP(B114,Select!A:H,8,FALSE)</f>
        <v>5</v>
      </c>
      <c r="D114" s="1" t="s">
        <v>36</v>
      </c>
      <c r="E114" s="6">
        <f>VLOOKUP(D114,Select!B:H,7,FALSE)</f>
        <v>1</v>
      </c>
      <c r="F114" s="1" t="s">
        <v>3</v>
      </c>
      <c r="G114" s="6">
        <f>VLOOKUP(F114,Select!C:H,6,FALSE)</f>
        <v>0</v>
      </c>
      <c r="H114" s="1" t="s">
        <v>181</v>
      </c>
      <c r="I114" s="1">
        <v>8</v>
      </c>
      <c r="J114" s="1">
        <v>5</v>
      </c>
      <c r="K114" s="1">
        <v>8</v>
      </c>
      <c r="L114" s="1"/>
      <c r="M114" s="1" t="b">
        <v>0</v>
      </c>
      <c r="N114" s="1" t="s">
        <v>477</v>
      </c>
      <c r="O114" s="15">
        <f>VLOOKUP(N114,Select!D:H,5,FALSE)</f>
        <v>0</v>
      </c>
    </row>
    <row r="115" spans="1:15">
      <c r="A115" s="14">
        <v>1510</v>
      </c>
      <c r="B115" s="5" t="s">
        <v>27</v>
      </c>
      <c r="C115" s="6">
        <f>VLOOKUP(B115,Select!A:H,8,FALSE)</f>
        <v>5</v>
      </c>
      <c r="D115" s="5" t="s">
        <v>12</v>
      </c>
      <c r="E115" s="6">
        <f>VLOOKUP(D115,Select!B:H,7,FALSE)</f>
        <v>1</v>
      </c>
      <c r="F115" s="5" t="s">
        <v>34</v>
      </c>
      <c r="G115" s="6">
        <f>VLOOKUP(F115,Select!C:H,6,FALSE)</f>
        <v>2</v>
      </c>
      <c r="H115" s="1" t="s">
        <v>182</v>
      </c>
      <c r="I115" s="1">
        <v>3</v>
      </c>
      <c r="J115" s="1"/>
      <c r="K115" s="1"/>
      <c r="L115" s="1"/>
      <c r="M115" s="1" t="b">
        <v>0</v>
      </c>
      <c r="N115" s="1" t="s">
        <v>477</v>
      </c>
      <c r="O115" s="15">
        <f>VLOOKUP(N115,Select!D:H,5,FALSE)</f>
        <v>0</v>
      </c>
    </row>
    <row r="116" spans="1:15">
      <c r="A116" s="14">
        <v>1511</v>
      </c>
      <c r="B116" s="1" t="s">
        <v>27</v>
      </c>
      <c r="C116" s="6">
        <f>VLOOKUP(B116,Select!A:H,8,FALSE)</f>
        <v>5</v>
      </c>
      <c r="D116" s="1" t="s">
        <v>21</v>
      </c>
      <c r="E116" s="6">
        <f>VLOOKUP(D116,Select!B:H,7,FALSE)</f>
        <v>2</v>
      </c>
      <c r="F116" s="1" t="s">
        <v>3</v>
      </c>
      <c r="G116" s="6">
        <f>VLOOKUP(F116,Select!C:H,6,FALSE)</f>
        <v>0</v>
      </c>
      <c r="H116" s="1" t="s">
        <v>183</v>
      </c>
      <c r="I116" s="1">
        <v>2</v>
      </c>
      <c r="J116" s="1">
        <v>2</v>
      </c>
      <c r="K116" s="1">
        <v>2</v>
      </c>
      <c r="L116" s="1"/>
      <c r="M116" s="1" t="b">
        <v>0</v>
      </c>
      <c r="N116" s="1" t="s">
        <v>477</v>
      </c>
      <c r="O116" s="15">
        <f>VLOOKUP(N116,Select!D:H,5,FALSE)</f>
        <v>0</v>
      </c>
    </row>
    <row r="117" spans="1:15">
      <c r="A117" s="14">
        <v>1512</v>
      </c>
      <c r="B117" s="5" t="s">
        <v>27</v>
      </c>
      <c r="C117" s="6">
        <f>VLOOKUP(B117,Select!A:H,8,FALSE)</f>
        <v>5</v>
      </c>
      <c r="D117" s="5" t="s">
        <v>21</v>
      </c>
      <c r="E117" s="6">
        <f>VLOOKUP(D117,Select!B:H,7,FALSE)</f>
        <v>2</v>
      </c>
      <c r="F117" s="5" t="s">
        <v>3</v>
      </c>
      <c r="G117" s="6">
        <f>VLOOKUP(F117,Select!C:H,6,FALSE)</f>
        <v>0</v>
      </c>
      <c r="H117" s="1" t="s">
        <v>184</v>
      </c>
      <c r="I117" s="1">
        <v>3</v>
      </c>
      <c r="J117" s="1">
        <v>3</v>
      </c>
      <c r="K117" s="1">
        <v>1</v>
      </c>
      <c r="L117" s="1"/>
      <c r="M117" s="1" t="b">
        <v>0</v>
      </c>
      <c r="N117" s="1" t="s">
        <v>477</v>
      </c>
      <c r="O117" s="15">
        <f>VLOOKUP(N117,Select!D:H,5,FALSE)</f>
        <v>0</v>
      </c>
    </row>
    <row r="118" spans="1:15">
      <c r="A118" s="14">
        <v>1513</v>
      </c>
      <c r="B118" s="1" t="s">
        <v>27</v>
      </c>
      <c r="C118" s="6">
        <f>VLOOKUP(B118,Select!A:H,8,FALSE)</f>
        <v>5</v>
      </c>
      <c r="D118" s="1" t="s">
        <v>21</v>
      </c>
      <c r="E118" s="6">
        <f>VLOOKUP(D118,Select!B:H,7,FALSE)</f>
        <v>2</v>
      </c>
      <c r="F118" s="1" t="s">
        <v>3</v>
      </c>
      <c r="G118" s="6">
        <f>VLOOKUP(F118,Select!C:H,6,FALSE)</f>
        <v>0</v>
      </c>
      <c r="H118" s="1" t="s">
        <v>185</v>
      </c>
      <c r="I118" s="1">
        <v>4</v>
      </c>
      <c r="J118" s="1">
        <v>1</v>
      </c>
      <c r="K118" s="1">
        <v>4</v>
      </c>
      <c r="L118" s="1"/>
      <c r="M118" s="1" t="b">
        <v>0</v>
      </c>
      <c r="N118" s="1" t="s">
        <v>477</v>
      </c>
      <c r="O118" s="15">
        <f>VLOOKUP(N118,Select!D:H,5,FALSE)</f>
        <v>0</v>
      </c>
    </row>
    <row r="119" spans="1:15">
      <c r="A119" s="14">
        <v>1514</v>
      </c>
      <c r="B119" s="5" t="s">
        <v>27</v>
      </c>
      <c r="C119" s="6">
        <f>VLOOKUP(B119,Select!A:H,8,FALSE)</f>
        <v>5</v>
      </c>
      <c r="D119" s="5" t="s">
        <v>21</v>
      </c>
      <c r="E119" s="6">
        <f>VLOOKUP(D119,Select!B:H,7,FALSE)</f>
        <v>2</v>
      </c>
      <c r="F119" s="5" t="s">
        <v>3</v>
      </c>
      <c r="G119" s="6">
        <f>VLOOKUP(F119,Select!C:H,6,FALSE)</f>
        <v>0</v>
      </c>
      <c r="H119" s="1" t="s">
        <v>186</v>
      </c>
      <c r="I119" s="1">
        <v>4</v>
      </c>
      <c r="J119" s="1">
        <v>3</v>
      </c>
      <c r="K119" s="1">
        <v>3</v>
      </c>
      <c r="L119" s="1"/>
      <c r="M119" s="1" t="b">
        <v>0</v>
      </c>
      <c r="N119" s="1" t="s">
        <v>477</v>
      </c>
      <c r="O119" s="15">
        <f>VLOOKUP(N119,Select!D:H,5,FALSE)</f>
        <v>0</v>
      </c>
    </row>
    <row r="120" spans="1:15">
      <c r="A120" s="14">
        <v>1515</v>
      </c>
      <c r="B120" s="1" t="s">
        <v>27</v>
      </c>
      <c r="C120" s="6">
        <f>VLOOKUP(B120,Select!A:H,8,FALSE)</f>
        <v>5</v>
      </c>
      <c r="D120" s="1" t="s">
        <v>21</v>
      </c>
      <c r="E120" s="6">
        <f>VLOOKUP(D120,Select!B:H,7,FALSE)</f>
        <v>2</v>
      </c>
      <c r="F120" s="1" t="s">
        <v>23</v>
      </c>
      <c r="G120" s="6">
        <f>VLOOKUP(F120,Select!C:H,6,FALSE)</f>
        <v>1</v>
      </c>
      <c r="H120" s="1" t="s">
        <v>187</v>
      </c>
      <c r="I120" s="1">
        <v>2</v>
      </c>
      <c r="J120" s="1"/>
      <c r="K120" s="1"/>
      <c r="L120" s="1"/>
      <c r="M120" s="1" t="b">
        <v>0</v>
      </c>
      <c r="N120" s="1" t="s">
        <v>477</v>
      </c>
      <c r="O120" s="15">
        <f>VLOOKUP(N120,Select!D:H,5,FALSE)</f>
        <v>0</v>
      </c>
    </row>
    <row r="121" spans="1:15">
      <c r="A121" s="14">
        <v>1516</v>
      </c>
      <c r="B121" s="5" t="s">
        <v>27</v>
      </c>
      <c r="C121" s="6">
        <f>VLOOKUP(B121,Select!A:H,8,FALSE)</f>
        <v>5</v>
      </c>
      <c r="D121" s="5" t="s">
        <v>30</v>
      </c>
      <c r="E121" s="6">
        <f>VLOOKUP(D121,Select!B:H,7,FALSE)</f>
        <v>3</v>
      </c>
      <c r="F121" s="5" t="s">
        <v>3</v>
      </c>
      <c r="G121" s="6">
        <f>VLOOKUP(F121,Select!C:H,6,FALSE)</f>
        <v>0</v>
      </c>
      <c r="H121" s="1" t="s">
        <v>188</v>
      </c>
      <c r="I121" s="1">
        <v>5</v>
      </c>
      <c r="J121" s="1">
        <v>4</v>
      </c>
      <c r="K121" s="1">
        <v>3</v>
      </c>
      <c r="L121" s="1"/>
      <c r="M121" s="1" t="b">
        <v>0</v>
      </c>
      <c r="N121" s="1" t="s">
        <v>477</v>
      </c>
      <c r="O121" s="15">
        <f>VLOOKUP(N121,Select!D:H,5,FALSE)</f>
        <v>0</v>
      </c>
    </row>
    <row r="122" spans="1:15">
      <c r="A122" s="14">
        <v>1517</v>
      </c>
      <c r="B122" s="1" t="s">
        <v>27</v>
      </c>
      <c r="C122" s="6">
        <f>VLOOKUP(B122,Select!A:H,8,FALSE)</f>
        <v>5</v>
      </c>
      <c r="D122" s="1" t="s">
        <v>30</v>
      </c>
      <c r="E122" s="6">
        <f>VLOOKUP(D122,Select!B:H,7,FALSE)</f>
        <v>3</v>
      </c>
      <c r="F122" s="1" t="s">
        <v>3</v>
      </c>
      <c r="G122" s="6">
        <f>VLOOKUP(F122,Select!C:H,6,FALSE)</f>
        <v>0</v>
      </c>
      <c r="H122" s="1" t="s">
        <v>189</v>
      </c>
      <c r="I122" s="1">
        <v>7</v>
      </c>
      <c r="J122" s="1">
        <v>3</v>
      </c>
      <c r="K122" s="1">
        <v>7</v>
      </c>
      <c r="L122" s="1"/>
      <c r="M122" s="1" t="b">
        <v>0</v>
      </c>
      <c r="N122" s="1" t="s">
        <v>477</v>
      </c>
      <c r="O122" s="15">
        <f>VLOOKUP(N122,Select!D:H,5,FALSE)</f>
        <v>0</v>
      </c>
    </row>
    <row r="123" spans="1:15">
      <c r="A123" s="14">
        <v>1518</v>
      </c>
      <c r="B123" s="5" t="s">
        <v>27</v>
      </c>
      <c r="C123" s="6">
        <f>VLOOKUP(B123,Select!A:H,8,FALSE)</f>
        <v>5</v>
      </c>
      <c r="D123" s="5" t="s">
        <v>30</v>
      </c>
      <c r="E123" s="6">
        <f>VLOOKUP(D123,Select!B:H,7,FALSE)</f>
        <v>3</v>
      </c>
      <c r="F123" s="5" t="s">
        <v>3</v>
      </c>
      <c r="G123" s="6">
        <f>VLOOKUP(F123,Select!C:H,6,FALSE)</f>
        <v>0</v>
      </c>
      <c r="H123" s="1" t="s">
        <v>190</v>
      </c>
      <c r="I123" s="1">
        <v>8</v>
      </c>
      <c r="J123" s="1">
        <v>6</v>
      </c>
      <c r="K123" s="1">
        <v>6</v>
      </c>
      <c r="L123" s="1"/>
      <c r="M123" s="1" t="b">
        <v>0</v>
      </c>
      <c r="N123" s="1" t="s">
        <v>477</v>
      </c>
      <c r="O123" s="15">
        <f>VLOOKUP(N123,Select!D:H,5,FALSE)</f>
        <v>0</v>
      </c>
    </row>
    <row r="124" spans="1:15">
      <c r="A124" s="14">
        <v>1519</v>
      </c>
      <c r="B124" s="1" t="s">
        <v>27</v>
      </c>
      <c r="C124" s="6">
        <f>VLOOKUP(B124,Select!A:H,8,FALSE)</f>
        <v>5</v>
      </c>
      <c r="D124" s="1" t="s">
        <v>10</v>
      </c>
      <c r="E124" s="6">
        <f>VLOOKUP(D124,Select!B:H,7,FALSE)</f>
        <v>0</v>
      </c>
      <c r="F124" s="1" t="s">
        <v>3</v>
      </c>
      <c r="G124" s="6">
        <f>VLOOKUP(F124,Select!C:H,6,FALSE)</f>
        <v>0</v>
      </c>
      <c r="H124" s="1" t="s">
        <v>253</v>
      </c>
      <c r="I124" s="1">
        <v>0</v>
      </c>
      <c r="J124" s="1">
        <v>1</v>
      </c>
      <c r="K124" s="1">
        <v>1</v>
      </c>
      <c r="L124" s="1"/>
      <c r="M124" s="1" t="b">
        <v>1</v>
      </c>
      <c r="N124" s="1" t="s">
        <v>464</v>
      </c>
      <c r="O124" s="15">
        <f>VLOOKUP(N124,Select!D:H,5,FALSE)</f>
        <v>5</v>
      </c>
    </row>
    <row r="125" spans="1:15">
      <c r="A125" s="14">
        <v>1520</v>
      </c>
      <c r="B125" s="5" t="s">
        <v>27</v>
      </c>
      <c r="C125" s="6">
        <f>VLOOKUP(B125,Select!A:H,8,FALSE)</f>
        <v>5</v>
      </c>
      <c r="D125" s="5" t="s">
        <v>30</v>
      </c>
      <c r="E125" s="6">
        <f>VLOOKUP(D125,Select!B:H,7,FALSE)</f>
        <v>3</v>
      </c>
      <c r="F125" s="5" t="s">
        <v>3</v>
      </c>
      <c r="G125" s="6">
        <f>VLOOKUP(F125,Select!C:H,6,FALSE)</f>
        <v>0</v>
      </c>
      <c r="H125" s="1" t="s">
        <v>254</v>
      </c>
      <c r="I125" s="1">
        <v>1</v>
      </c>
      <c r="J125" s="1">
        <v>2</v>
      </c>
      <c r="K125" s="1">
        <v>1</v>
      </c>
      <c r="L125" s="1"/>
      <c r="M125" s="1" t="b">
        <v>1</v>
      </c>
      <c r="N125" s="1" t="s">
        <v>477</v>
      </c>
      <c r="O125" s="15">
        <f>VLOOKUP(N125,Select!D:H,5,FALSE)</f>
        <v>0</v>
      </c>
    </row>
    <row r="126" spans="1:15">
      <c r="A126" s="14">
        <v>1521</v>
      </c>
      <c r="B126" s="1" t="s">
        <v>27</v>
      </c>
      <c r="C126" s="6">
        <f>VLOOKUP(B126,Select!A:H,8,FALSE)</f>
        <v>5</v>
      </c>
      <c r="D126" s="1" t="s">
        <v>30</v>
      </c>
      <c r="E126" s="6">
        <f>VLOOKUP(D126,Select!B:H,7,FALSE)</f>
        <v>3</v>
      </c>
      <c r="F126" s="1" t="s">
        <v>3</v>
      </c>
      <c r="G126" s="6">
        <f>VLOOKUP(F126,Select!C:H,6,FALSE)</f>
        <v>0</v>
      </c>
      <c r="H126" s="1" t="s">
        <v>255</v>
      </c>
      <c r="I126" s="1">
        <v>1</v>
      </c>
      <c r="J126" s="1">
        <v>1</v>
      </c>
      <c r="K126" s="1">
        <v>2</v>
      </c>
      <c r="L126" s="1"/>
      <c r="M126" s="1" t="b">
        <v>1</v>
      </c>
      <c r="N126" s="1" t="s">
        <v>477</v>
      </c>
      <c r="O126" s="15">
        <f>VLOOKUP(N126,Select!D:H,5,FALSE)</f>
        <v>0</v>
      </c>
    </row>
    <row r="127" spans="1:15">
      <c r="A127" s="14">
        <v>1600</v>
      </c>
      <c r="B127" s="5" t="s">
        <v>29</v>
      </c>
      <c r="C127" s="6">
        <f>VLOOKUP(B127,Select!A:H,8,FALSE)</f>
        <v>6</v>
      </c>
      <c r="D127" s="5" t="s">
        <v>10</v>
      </c>
      <c r="E127" s="6">
        <f>VLOOKUP(D127,Select!B:H,7,FALSE)</f>
        <v>0</v>
      </c>
      <c r="F127" s="5" t="s">
        <v>3</v>
      </c>
      <c r="G127" s="6">
        <f>VLOOKUP(F127,Select!C:H,6,FALSE)</f>
        <v>0</v>
      </c>
      <c r="H127" s="1" t="s">
        <v>191</v>
      </c>
      <c r="I127" s="1">
        <v>2</v>
      </c>
      <c r="J127" s="1">
        <v>2</v>
      </c>
      <c r="K127" s="1">
        <v>2</v>
      </c>
      <c r="L127" s="1"/>
      <c r="M127" s="1" t="b">
        <v>0</v>
      </c>
      <c r="N127" s="1" t="s">
        <v>477</v>
      </c>
      <c r="O127" s="15">
        <f>VLOOKUP(N127,Select!D:H,5,FALSE)</f>
        <v>0</v>
      </c>
    </row>
    <row r="128" spans="1:15">
      <c r="A128" s="14">
        <v>1601</v>
      </c>
      <c r="B128" s="1" t="s">
        <v>29</v>
      </c>
      <c r="C128" s="6">
        <f>VLOOKUP(B128,Select!A:H,8,FALSE)</f>
        <v>6</v>
      </c>
      <c r="D128" s="1" t="s">
        <v>10</v>
      </c>
      <c r="E128" s="6">
        <f>VLOOKUP(D128,Select!B:H,7,FALSE)</f>
        <v>0</v>
      </c>
      <c r="F128" s="1" t="s">
        <v>3</v>
      </c>
      <c r="G128" s="6">
        <f>VLOOKUP(F128,Select!C:H,6,FALSE)</f>
        <v>0</v>
      </c>
      <c r="H128" s="1" t="s">
        <v>192</v>
      </c>
      <c r="I128" s="1">
        <v>3</v>
      </c>
      <c r="J128" s="1">
        <v>2</v>
      </c>
      <c r="K128" s="1">
        <v>2</v>
      </c>
      <c r="L128" s="1"/>
      <c r="M128" s="1" t="b">
        <v>0</v>
      </c>
      <c r="N128" s="1" t="s">
        <v>477</v>
      </c>
      <c r="O128" s="15">
        <f>VLOOKUP(N128,Select!D:H,5,FALSE)</f>
        <v>0</v>
      </c>
    </row>
    <row r="129" spans="1:15">
      <c r="A129" s="14">
        <v>1602</v>
      </c>
      <c r="B129" s="5" t="s">
        <v>29</v>
      </c>
      <c r="C129" s="6">
        <f>VLOOKUP(B129,Select!A:H,8,FALSE)</f>
        <v>6</v>
      </c>
      <c r="D129" s="5" t="s">
        <v>10</v>
      </c>
      <c r="E129" s="6">
        <f>VLOOKUP(D129,Select!B:H,7,FALSE)</f>
        <v>0</v>
      </c>
      <c r="F129" s="5" t="s">
        <v>3</v>
      </c>
      <c r="G129" s="6">
        <f>VLOOKUP(F129,Select!C:H,6,FALSE)</f>
        <v>0</v>
      </c>
      <c r="H129" s="1" t="s">
        <v>193</v>
      </c>
      <c r="I129" s="1">
        <v>3</v>
      </c>
      <c r="J129" s="1">
        <v>2</v>
      </c>
      <c r="K129" s="1">
        <v>1</v>
      </c>
      <c r="L129" s="1"/>
      <c r="M129" s="1" t="b">
        <v>0</v>
      </c>
      <c r="N129" s="1" t="s">
        <v>477</v>
      </c>
      <c r="O129" s="15">
        <f>VLOOKUP(N129,Select!D:H,5,FALSE)</f>
        <v>0</v>
      </c>
    </row>
    <row r="130" spans="1:15">
      <c r="A130" s="14">
        <v>1603</v>
      </c>
      <c r="B130" s="1" t="s">
        <v>29</v>
      </c>
      <c r="C130" s="6">
        <f>VLOOKUP(B130,Select!A:H,8,FALSE)</f>
        <v>6</v>
      </c>
      <c r="D130" s="1" t="s">
        <v>10</v>
      </c>
      <c r="E130" s="6">
        <f>VLOOKUP(D130,Select!B:H,7,FALSE)</f>
        <v>0</v>
      </c>
      <c r="F130" s="1" t="s">
        <v>3</v>
      </c>
      <c r="G130" s="6">
        <f>VLOOKUP(F130,Select!C:H,6,FALSE)</f>
        <v>0</v>
      </c>
      <c r="H130" s="1" t="s">
        <v>194</v>
      </c>
      <c r="I130" s="1">
        <v>5</v>
      </c>
      <c r="J130" s="1">
        <v>2</v>
      </c>
      <c r="K130" s="1">
        <v>3</v>
      </c>
      <c r="L130" s="1"/>
      <c r="M130" s="1" t="b">
        <v>0</v>
      </c>
      <c r="N130" s="1" t="s">
        <v>477</v>
      </c>
      <c r="O130" s="15">
        <f>VLOOKUP(N130,Select!D:H,5,FALSE)</f>
        <v>0</v>
      </c>
    </row>
    <row r="131" spans="1:15">
      <c r="A131" s="14">
        <v>1604</v>
      </c>
      <c r="B131" s="5" t="s">
        <v>29</v>
      </c>
      <c r="C131" s="6">
        <f>VLOOKUP(B131,Select!A:H,8,FALSE)</f>
        <v>6</v>
      </c>
      <c r="D131" s="5" t="s">
        <v>10</v>
      </c>
      <c r="E131" s="6">
        <f>VLOOKUP(D131,Select!B:H,7,FALSE)</f>
        <v>0</v>
      </c>
      <c r="F131" s="5" t="s">
        <v>23</v>
      </c>
      <c r="G131" s="6">
        <f>VLOOKUP(F131,Select!C:H,6,FALSE)</f>
        <v>1</v>
      </c>
      <c r="H131" s="1" t="s">
        <v>195</v>
      </c>
      <c r="I131" s="1">
        <v>6</v>
      </c>
      <c r="J131" s="1"/>
      <c r="K131" s="1"/>
      <c r="L131" s="1"/>
      <c r="M131" s="1" t="b">
        <v>0</v>
      </c>
      <c r="N131" s="1" t="s">
        <v>477</v>
      </c>
      <c r="O131" s="15">
        <f>VLOOKUP(N131,Select!D:H,5,FALSE)</f>
        <v>0</v>
      </c>
    </row>
    <row r="132" spans="1:15">
      <c r="A132" s="14">
        <v>1605</v>
      </c>
      <c r="B132" s="1" t="s">
        <v>29</v>
      </c>
      <c r="C132" s="6">
        <f>VLOOKUP(B132,Select!A:H,8,FALSE)</f>
        <v>6</v>
      </c>
      <c r="D132" s="1" t="s">
        <v>10</v>
      </c>
      <c r="E132" s="6">
        <f>VLOOKUP(D132,Select!B:H,7,FALSE)</f>
        <v>0</v>
      </c>
      <c r="F132" s="1" t="s">
        <v>34</v>
      </c>
      <c r="G132" s="6">
        <f>VLOOKUP(F132,Select!C:H,6,FALSE)</f>
        <v>2</v>
      </c>
      <c r="H132" s="1" t="s">
        <v>196</v>
      </c>
      <c r="I132" s="1">
        <v>1</v>
      </c>
      <c r="J132" s="1"/>
      <c r="K132" s="1"/>
      <c r="L132" s="1"/>
      <c r="M132" s="1" t="b">
        <v>0</v>
      </c>
      <c r="N132" s="1" t="s">
        <v>477</v>
      </c>
      <c r="O132" s="15">
        <f>VLOOKUP(N132,Select!D:H,5,FALSE)</f>
        <v>0</v>
      </c>
    </row>
    <row r="133" spans="1:15">
      <c r="A133" s="14">
        <v>1606</v>
      </c>
      <c r="B133" s="5" t="s">
        <v>29</v>
      </c>
      <c r="C133" s="6">
        <f>VLOOKUP(B133,Select!A:H,8,FALSE)</f>
        <v>6</v>
      </c>
      <c r="D133" s="5" t="s">
        <v>36</v>
      </c>
      <c r="E133" s="6">
        <f>VLOOKUP(D133,Select!B:H,7,FALSE)</f>
        <v>1</v>
      </c>
      <c r="F133" s="5" t="s">
        <v>3</v>
      </c>
      <c r="G133" s="6">
        <f>VLOOKUP(F133,Select!C:H,6,FALSE)</f>
        <v>0</v>
      </c>
      <c r="H133" s="1" t="s">
        <v>197</v>
      </c>
      <c r="I133" s="1">
        <v>2</v>
      </c>
      <c r="J133" s="1">
        <v>2</v>
      </c>
      <c r="K133" s="1">
        <v>2</v>
      </c>
      <c r="L133" s="1"/>
      <c r="M133" s="1" t="b">
        <v>0</v>
      </c>
      <c r="N133" s="1" t="s">
        <v>477</v>
      </c>
      <c r="O133" s="15">
        <f>VLOOKUP(N133,Select!D:H,5,FALSE)</f>
        <v>0</v>
      </c>
    </row>
    <row r="134" spans="1:15">
      <c r="A134" s="14">
        <v>1607</v>
      </c>
      <c r="B134" s="1" t="s">
        <v>29</v>
      </c>
      <c r="C134" s="6">
        <f>VLOOKUP(B134,Select!A:H,8,FALSE)</f>
        <v>6</v>
      </c>
      <c r="D134" s="1" t="s">
        <v>36</v>
      </c>
      <c r="E134" s="6">
        <f>VLOOKUP(D134,Select!B:H,7,FALSE)</f>
        <v>1</v>
      </c>
      <c r="F134" s="1" t="s">
        <v>3</v>
      </c>
      <c r="G134" s="6">
        <f>VLOOKUP(F134,Select!C:H,6,FALSE)</f>
        <v>0</v>
      </c>
      <c r="H134" s="1" t="s">
        <v>198</v>
      </c>
      <c r="I134" s="1">
        <v>4</v>
      </c>
      <c r="J134" s="1">
        <v>3</v>
      </c>
      <c r="K134" s="1">
        <v>5</v>
      </c>
      <c r="L134" s="1"/>
      <c r="M134" s="1" t="b">
        <v>0</v>
      </c>
      <c r="N134" s="1" t="s">
        <v>477</v>
      </c>
      <c r="O134" s="15">
        <f>VLOOKUP(N134,Select!D:H,5,FALSE)</f>
        <v>0</v>
      </c>
    </row>
    <row r="135" spans="1:15">
      <c r="A135" s="14">
        <v>1608</v>
      </c>
      <c r="B135" s="5" t="s">
        <v>29</v>
      </c>
      <c r="C135" s="6">
        <f>VLOOKUP(B135,Select!A:H,8,FALSE)</f>
        <v>6</v>
      </c>
      <c r="D135" s="5" t="s">
        <v>36</v>
      </c>
      <c r="E135" s="6">
        <f>VLOOKUP(D135,Select!B:H,7,FALSE)</f>
        <v>1</v>
      </c>
      <c r="F135" s="5" t="s">
        <v>3</v>
      </c>
      <c r="G135" s="6">
        <f>VLOOKUP(F135,Select!C:H,6,FALSE)</f>
        <v>0</v>
      </c>
      <c r="H135" s="1" t="s">
        <v>201</v>
      </c>
      <c r="I135" s="1">
        <v>7</v>
      </c>
      <c r="J135" s="1">
        <v>5</v>
      </c>
      <c r="K135" s="1">
        <v>7</v>
      </c>
      <c r="L135" s="1"/>
      <c r="M135" s="1" t="b">
        <v>0</v>
      </c>
      <c r="N135" s="1" t="s">
        <v>477</v>
      </c>
      <c r="O135" s="15">
        <f>VLOOKUP(N135,Select!D:H,5,FALSE)</f>
        <v>0</v>
      </c>
    </row>
    <row r="136" spans="1:15">
      <c r="A136" s="14">
        <v>1609</v>
      </c>
      <c r="B136" s="1" t="s">
        <v>29</v>
      </c>
      <c r="C136" s="6">
        <f>VLOOKUP(B136,Select!A:H,8,FALSE)</f>
        <v>6</v>
      </c>
      <c r="D136" s="1" t="s">
        <v>36</v>
      </c>
      <c r="E136" s="6">
        <f>VLOOKUP(D136,Select!B:H,7,FALSE)</f>
        <v>1</v>
      </c>
      <c r="F136" s="1" t="s">
        <v>34</v>
      </c>
      <c r="G136" s="6">
        <f>VLOOKUP(F136,Select!C:H,6,FALSE)</f>
        <v>2</v>
      </c>
      <c r="H136" s="1" t="s">
        <v>199</v>
      </c>
      <c r="I136" s="1">
        <v>2</v>
      </c>
      <c r="J136" s="1"/>
      <c r="K136" s="1"/>
      <c r="L136" s="1"/>
      <c r="M136" s="1" t="b">
        <v>0</v>
      </c>
      <c r="N136" s="1" t="s">
        <v>477</v>
      </c>
      <c r="O136" s="15">
        <f>VLOOKUP(N136,Select!D:H,5,FALSE)</f>
        <v>0</v>
      </c>
    </row>
    <row r="137" spans="1:15">
      <c r="A137" s="14">
        <v>1610</v>
      </c>
      <c r="B137" s="5" t="s">
        <v>29</v>
      </c>
      <c r="C137" s="6">
        <f>VLOOKUP(B137,Select!A:H,8,FALSE)</f>
        <v>6</v>
      </c>
      <c r="D137" s="5" t="s">
        <v>36</v>
      </c>
      <c r="E137" s="6">
        <f>VLOOKUP(D137,Select!B:H,7,FALSE)</f>
        <v>1</v>
      </c>
      <c r="F137" s="5" t="s">
        <v>34</v>
      </c>
      <c r="G137" s="6">
        <f>VLOOKUP(F137,Select!C:H,6,FALSE)</f>
        <v>2</v>
      </c>
      <c r="H137" s="1" t="s">
        <v>200</v>
      </c>
      <c r="I137" s="1">
        <v>3</v>
      </c>
      <c r="J137" s="1"/>
      <c r="K137" s="1"/>
      <c r="L137" s="1"/>
      <c r="M137" s="1" t="b">
        <v>0</v>
      </c>
      <c r="N137" s="1" t="s">
        <v>477</v>
      </c>
      <c r="O137" s="15">
        <f>VLOOKUP(N137,Select!D:H,5,FALSE)</f>
        <v>0</v>
      </c>
    </row>
    <row r="138" spans="1:15">
      <c r="A138" s="14">
        <v>1611</v>
      </c>
      <c r="B138" s="1" t="s">
        <v>29</v>
      </c>
      <c r="C138" s="6">
        <f>VLOOKUP(B138,Select!A:H,8,FALSE)</f>
        <v>6</v>
      </c>
      <c r="D138" s="1" t="s">
        <v>21</v>
      </c>
      <c r="E138" s="6">
        <f>VLOOKUP(D138,Select!B:H,7,FALSE)</f>
        <v>2</v>
      </c>
      <c r="F138" s="1" t="s">
        <v>3</v>
      </c>
      <c r="G138" s="6">
        <f>VLOOKUP(F138,Select!C:H,6,FALSE)</f>
        <v>0</v>
      </c>
      <c r="H138" s="1" t="s">
        <v>202</v>
      </c>
      <c r="I138" s="1">
        <v>4</v>
      </c>
      <c r="J138" s="1">
        <v>1</v>
      </c>
      <c r="K138" s="1">
        <v>3</v>
      </c>
      <c r="L138" s="1"/>
      <c r="M138" s="1" t="b">
        <v>0</v>
      </c>
      <c r="N138" s="1" t="s">
        <v>477</v>
      </c>
      <c r="O138" s="15">
        <f>VLOOKUP(N138,Select!D:H,5,FALSE)</f>
        <v>0</v>
      </c>
    </row>
    <row r="139" spans="1:15">
      <c r="A139" s="14">
        <v>1612</v>
      </c>
      <c r="B139" s="5" t="s">
        <v>29</v>
      </c>
      <c r="C139" s="6">
        <f>VLOOKUP(B139,Select!A:H,8,FALSE)</f>
        <v>6</v>
      </c>
      <c r="D139" s="5" t="s">
        <v>21</v>
      </c>
      <c r="E139" s="6">
        <f>VLOOKUP(D139,Select!B:H,7,FALSE)</f>
        <v>2</v>
      </c>
      <c r="F139" s="5" t="s">
        <v>3</v>
      </c>
      <c r="G139" s="6">
        <f>VLOOKUP(F139,Select!C:H,6,FALSE)</f>
        <v>0</v>
      </c>
      <c r="H139" s="1" t="s">
        <v>203</v>
      </c>
      <c r="I139" s="1">
        <v>6</v>
      </c>
      <c r="J139" s="1">
        <v>4</v>
      </c>
      <c r="K139" s="1">
        <v>4</v>
      </c>
      <c r="L139" s="1"/>
      <c r="M139" s="1" t="b">
        <v>0</v>
      </c>
      <c r="N139" s="1" t="s">
        <v>477</v>
      </c>
      <c r="O139" s="15">
        <f>VLOOKUP(N139,Select!D:H,5,FALSE)</f>
        <v>0</v>
      </c>
    </row>
    <row r="140" spans="1:15">
      <c r="A140" s="14">
        <v>1613</v>
      </c>
      <c r="B140" s="1" t="s">
        <v>29</v>
      </c>
      <c r="C140" s="6">
        <f>VLOOKUP(B140,Select!A:H,8,FALSE)</f>
        <v>6</v>
      </c>
      <c r="D140" s="1" t="s">
        <v>21</v>
      </c>
      <c r="E140" s="6">
        <f>VLOOKUP(D140,Select!B:H,7,FALSE)</f>
        <v>2</v>
      </c>
      <c r="F140" s="1" t="s">
        <v>3</v>
      </c>
      <c r="G140" s="6">
        <f>VLOOKUP(F140,Select!C:H,6,FALSE)</f>
        <v>0</v>
      </c>
      <c r="H140" s="1" t="s">
        <v>204</v>
      </c>
      <c r="I140" s="1">
        <v>8</v>
      </c>
      <c r="J140" s="1">
        <v>7</v>
      </c>
      <c r="K140" s="1">
        <v>6</v>
      </c>
      <c r="L140" s="1"/>
      <c r="M140" s="1" t="b">
        <v>0</v>
      </c>
      <c r="N140" s="1" t="s">
        <v>477</v>
      </c>
      <c r="O140" s="15">
        <f>VLOOKUP(N140,Select!D:H,5,FALSE)</f>
        <v>0</v>
      </c>
    </row>
    <row r="141" spans="1:15">
      <c r="A141" s="14">
        <v>1614</v>
      </c>
      <c r="B141" s="5" t="s">
        <v>29</v>
      </c>
      <c r="C141" s="6">
        <f>VLOOKUP(B141,Select!A:H,8,FALSE)</f>
        <v>6</v>
      </c>
      <c r="D141" s="5" t="s">
        <v>13</v>
      </c>
      <c r="E141" s="6">
        <f>VLOOKUP(D141,Select!B:H,7,FALSE)</f>
        <v>2</v>
      </c>
      <c r="F141" s="5" t="s">
        <v>34</v>
      </c>
      <c r="G141" s="6">
        <f>VLOOKUP(F141,Select!C:H,6,FALSE)</f>
        <v>2</v>
      </c>
      <c r="H141" s="1" t="s">
        <v>205</v>
      </c>
      <c r="I141" s="1">
        <v>2</v>
      </c>
      <c r="J141" s="1"/>
      <c r="K141" s="1"/>
      <c r="L141" s="1"/>
      <c r="M141" s="1" t="b">
        <v>0</v>
      </c>
      <c r="N141" s="1" t="s">
        <v>477</v>
      </c>
      <c r="O141" s="15">
        <f>VLOOKUP(N141,Select!D:H,5,FALSE)</f>
        <v>0</v>
      </c>
    </row>
    <row r="142" spans="1:15">
      <c r="A142" s="14">
        <v>1615</v>
      </c>
      <c r="B142" s="1" t="s">
        <v>29</v>
      </c>
      <c r="C142" s="6">
        <f>VLOOKUP(B142,Select!A:H,8,FALSE)</f>
        <v>6</v>
      </c>
      <c r="D142" s="1" t="s">
        <v>21</v>
      </c>
      <c r="E142" s="6">
        <f>VLOOKUP(D142,Select!B:H,7,FALSE)</f>
        <v>2</v>
      </c>
      <c r="F142" s="1" t="s">
        <v>34</v>
      </c>
      <c r="G142" s="6">
        <f>VLOOKUP(F142,Select!C:H,6,FALSE)</f>
        <v>2</v>
      </c>
      <c r="H142" s="1" t="s">
        <v>206</v>
      </c>
      <c r="I142" s="1">
        <v>6</v>
      </c>
      <c r="J142" s="1"/>
      <c r="K142" s="1"/>
      <c r="L142" s="1"/>
      <c r="M142" s="1" t="b">
        <v>0</v>
      </c>
      <c r="N142" s="1" t="s">
        <v>477</v>
      </c>
      <c r="O142" s="15">
        <f>VLOOKUP(N142,Select!D:H,5,FALSE)</f>
        <v>0</v>
      </c>
    </row>
    <row r="143" spans="1:15">
      <c r="A143" s="14">
        <v>1616</v>
      </c>
      <c r="B143" s="5" t="s">
        <v>29</v>
      </c>
      <c r="C143" s="6">
        <f>VLOOKUP(B143,Select!A:H,8,FALSE)</f>
        <v>6</v>
      </c>
      <c r="D143" s="5" t="s">
        <v>30</v>
      </c>
      <c r="E143" s="6">
        <f>VLOOKUP(D143,Select!B:H,7,FALSE)</f>
        <v>3</v>
      </c>
      <c r="F143" s="5" t="s">
        <v>3</v>
      </c>
      <c r="G143" s="6">
        <f>VLOOKUP(F143,Select!C:H,6,FALSE)</f>
        <v>0</v>
      </c>
      <c r="H143" s="1" t="s">
        <v>207</v>
      </c>
      <c r="I143" s="1">
        <v>5</v>
      </c>
      <c r="J143" s="1">
        <v>3</v>
      </c>
      <c r="K143" s="1">
        <v>3</v>
      </c>
      <c r="L143" s="1"/>
      <c r="M143" s="1" t="b">
        <v>0</v>
      </c>
      <c r="N143" s="1" t="s">
        <v>477</v>
      </c>
      <c r="O143" s="15">
        <f>VLOOKUP(N143,Select!D:H,5,FALSE)</f>
        <v>0</v>
      </c>
    </row>
    <row r="144" spans="1:15">
      <c r="A144" s="14">
        <v>1617</v>
      </c>
      <c r="B144" s="1" t="s">
        <v>29</v>
      </c>
      <c r="C144" s="6">
        <f>VLOOKUP(B144,Select!A:H,8,FALSE)</f>
        <v>6</v>
      </c>
      <c r="D144" s="1" t="s">
        <v>30</v>
      </c>
      <c r="E144" s="6">
        <f>VLOOKUP(D144,Select!B:H,7,FALSE)</f>
        <v>3</v>
      </c>
      <c r="F144" s="1" t="s">
        <v>3</v>
      </c>
      <c r="G144" s="6">
        <f>VLOOKUP(F144,Select!C:H,6,FALSE)</f>
        <v>0</v>
      </c>
      <c r="H144" s="1" t="s">
        <v>208</v>
      </c>
      <c r="I144" s="1">
        <v>7</v>
      </c>
      <c r="J144" s="1">
        <v>5</v>
      </c>
      <c r="K144" s="1">
        <v>5</v>
      </c>
      <c r="L144" s="1"/>
      <c r="M144" s="1" t="b">
        <v>0</v>
      </c>
      <c r="N144" s="1" t="s">
        <v>485</v>
      </c>
      <c r="O144" s="15">
        <f>VLOOKUP(N144,Select!D:H,5,FALSE)</f>
        <v>15</v>
      </c>
    </row>
    <row r="145" spans="1:15">
      <c r="A145" s="14">
        <v>1618</v>
      </c>
      <c r="B145" s="5" t="s">
        <v>29</v>
      </c>
      <c r="C145" s="6">
        <f>VLOOKUP(B145,Select!A:H,8,FALSE)</f>
        <v>6</v>
      </c>
      <c r="D145" s="5" t="s">
        <v>30</v>
      </c>
      <c r="E145" s="6">
        <f>VLOOKUP(D145,Select!B:H,7,FALSE)</f>
        <v>3</v>
      </c>
      <c r="F145" s="5" t="s">
        <v>3</v>
      </c>
      <c r="G145" s="6">
        <f>VLOOKUP(F145,Select!C:H,6,FALSE)</f>
        <v>0</v>
      </c>
      <c r="H145" s="1" t="s">
        <v>209</v>
      </c>
      <c r="I145" s="1">
        <v>8</v>
      </c>
      <c r="J145" s="1">
        <v>6</v>
      </c>
      <c r="K145" s="1">
        <v>6</v>
      </c>
      <c r="L145" s="1"/>
      <c r="M145" s="1" t="b">
        <v>0</v>
      </c>
      <c r="N145" s="1" t="s">
        <v>477</v>
      </c>
      <c r="O145" s="15">
        <f>VLOOKUP(N145,Select!D:H,5,FALSE)</f>
        <v>0</v>
      </c>
    </row>
    <row r="146" spans="1:15">
      <c r="A146" s="14">
        <v>1619</v>
      </c>
      <c r="B146" s="1" t="s">
        <v>29</v>
      </c>
      <c r="C146" s="6">
        <f>VLOOKUP(B146,Select!A:H,8,FALSE)</f>
        <v>6</v>
      </c>
      <c r="D146" s="1" t="s">
        <v>10</v>
      </c>
      <c r="E146" s="6">
        <f>VLOOKUP(D146,Select!B:H,7,FALSE)</f>
        <v>0</v>
      </c>
      <c r="F146" s="1" t="s">
        <v>3</v>
      </c>
      <c r="G146" s="6">
        <f>VLOOKUP(F146,Select!C:H,6,FALSE)</f>
        <v>0</v>
      </c>
      <c r="H146" s="1" t="s">
        <v>256</v>
      </c>
      <c r="I146" s="1">
        <v>4</v>
      </c>
      <c r="J146" s="1">
        <v>4</v>
      </c>
      <c r="K146" s="1">
        <v>4</v>
      </c>
      <c r="L146" s="1"/>
      <c r="M146" s="1" t="b">
        <v>1</v>
      </c>
      <c r="N146" s="1" t="s">
        <v>477</v>
      </c>
      <c r="O146" s="15">
        <f>VLOOKUP(N146,Select!D:H,5,FALSE)</f>
        <v>0</v>
      </c>
    </row>
    <row r="147" spans="1:15">
      <c r="A147" s="14">
        <v>1700</v>
      </c>
      <c r="B147" s="5" t="s">
        <v>28</v>
      </c>
      <c r="C147" s="6">
        <f>VLOOKUP(B147,Select!A:H,8,FALSE)</f>
        <v>7</v>
      </c>
      <c r="D147" s="5" t="s">
        <v>10</v>
      </c>
      <c r="E147" s="6">
        <f>VLOOKUP(D147,Select!B:H,7,FALSE)</f>
        <v>0</v>
      </c>
      <c r="F147" s="5" t="s">
        <v>3</v>
      </c>
      <c r="G147" s="6">
        <f>VLOOKUP(F147,Select!C:H,6,FALSE)</f>
        <v>0</v>
      </c>
      <c r="H147" s="1" t="s">
        <v>210</v>
      </c>
      <c r="I147" s="1">
        <v>1</v>
      </c>
      <c r="J147" s="1">
        <v>1</v>
      </c>
      <c r="K147" s="1">
        <v>1</v>
      </c>
      <c r="L147" s="1"/>
      <c r="M147" s="1" t="b">
        <v>0</v>
      </c>
      <c r="N147" s="1" t="s">
        <v>477</v>
      </c>
      <c r="O147" s="15">
        <f>VLOOKUP(N147,Select!D:H,5,FALSE)</f>
        <v>0</v>
      </c>
    </row>
    <row r="148" spans="1:15">
      <c r="A148" s="14">
        <v>1701</v>
      </c>
      <c r="B148" s="1" t="s">
        <v>28</v>
      </c>
      <c r="C148" s="6">
        <f>VLOOKUP(B148,Select!A:H,8,FALSE)</f>
        <v>7</v>
      </c>
      <c r="D148" s="1" t="s">
        <v>10</v>
      </c>
      <c r="E148" s="6">
        <f>VLOOKUP(D148,Select!B:H,7,FALSE)</f>
        <v>0</v>
      </c>
      <c r="F148" s="1" t="s">
        <v>3</v>
      </c>
      <c r="G148" s="6">
        <f>VLOOKUP(F148,Select!C:H,6,FALSE)</f>
        <v>0</v>
      </c>
      <c r="H148" s="1" t="s">
        <v>211</v>
      </c>
      <c r="I148" s="1">
        <v>2</v>
      </c>
      <c r="J148" s="1">
        <v>2</v>
      </c>
      <c r="K148" s="1">
        <v>2</v>
      </c>
      <c r="L148" s="1"/>
      <c r="M148" s="1" t="b">
        <v>0</v>
      </c>
      <c r="N148" s="1" t="s">
        <v>477</v>
      </c>
      <c r="O148" s="15">
        <f>VLOOKUP(N148,Select!D:H,5,FALSE)</f>
        <v>0</v>
      </c>
    </row>
    <row r="149" spans="1:15">
      <c r="A149" s="14">
        <v>1702</v>
      </c>
      <c r="B149" s="5" t="s">
        <v>28</v>
      </c>
      <c r="C149" s="6">
        <f>VLOOKUP(B149,Select!A:H,8,FALSE)</f>
        <v>7</v>
      </c>
      <c r="D149" s="5" t="s">
        <v>10</v>
      </c>
      <c r="E149" s="6">
        <f>VLOOKUP(D149,Select!B:H,7,FALSE)</f>
        <v>0</v>
      </c>
      <c r="F149" s="5" t="s">
        <v>3</v>
      </c>
      <c r="G149" s="6">
        <f>VLOOKUP(F149,Select!C:H,6,FALSE)</f>
        <v>0</v>
      </c>
      <c r="H149" s="1" t="s">
        <v>212</v>
      </c>
      <c r="I149" s="1">
        <v>3</v>
      </c>
      <c r="J149" s="1">
        <v>2</v>
      </c>
      <c r="K149" s="1">
        <v>2</v>
      </c>
      <c r="L149" s="1"/>
      <c r="M149" s="1" t="b">
        <v>0</v>
      </c>
      <c r="N149" s="1" t="s">
        <v>477</v>
      </c>
      <c r="O149" s="15">
        <f>VLOOKUP(N149,Select!D:H,5,FALSE)</f>
        <v>0</v>
      </c>
    </row>
    <row r="150" spans="1:15">
      <c r="A150" s="14">
        <v>1703</v>
      </c>
      <c r="B150" s="1" t="s">
        <v>28</v>
      </c>
      <c r="C150" s="6">
        <f>VLOOKUP(B150,Select!A:H,8,FALSE)</f>
        <v>7</v>
      </c>
      <c r="D150" s="1" t="s">
        <v>10</v>
      </c>
      <c r="E150" s="6">
        <f>VLOOKUP(D150,Select!B:H,7,FALSE)</f>
        <v>0</v>
      </c>
      <c r="F150" s="1" t="s">
        <v>3</v>
      </c>
      <c r="G150" s="6">
        <f>VLOOKUP(F150,Select!C:H,6,FALSE)</f>
        <v>0</v>
      </c>
      <c r="H150" s="1" t="s">
        <v>213</v>
      </c>
      <c r="I150" s="1">
        <v>5</v>
      </c>
      <c r="J150" s="1">
        <v>5</v>
      </c>
      <c r="K150" s="1">
        <v>5</v>
      </c>
      <c r="L150" s="1"/>
      <c r="M150" s="1" t="b">
        <v>0</v>
      </c>
      <c r="N150" s="1" t="s">
        <v>477</v>
      </c>
      <c r="O150" s="15">
        <f>VLOOKUP(N150,Select!D:H,5,FALSE)</f>
        <v>0</v>
      </c>
    </row>
    <row r="151" spans="1:15">
      <c r="A151" s="14">
        <v>1704</v>
      </c>
      <c r="B151" s="5" t="s">
        <v>28</v>
      </c>
      <c r="C151" s="6">
        <f>VLOOKUP(B151,Select!A:H,8,FALSE)</f>
        <v>7</v>
      </c>
      <c r="D151" s="5" t="s">
        <v>10</v>
      </c>
      <c r="E151" s="6">
        <f>VLOOKUP(D151,Select!B:H,7,FALSE)</f>
        <v>0</v>
      </c>
      <c r="F151" s="5" t="s">
        <v>23</v>
      </c>
      <c r="G151" s="6">
        <f>VLOOKUP(F151,Select!C:H,6,FALSE)</f>
        <v>1</v>
      </c>
      <c r="H151" s="1" t="s">
        <v>214</v>
      </c>
      <c r="I151" s="1">
        <v>1</v>
      </c>
      <c r="J151" s="1"/>
      <c r="K151" s="1"/>
      <c r="L151" s="1"/>
      <c r="M151" s="1" t="b">
        <v>0</v>
      </c>
      <c r="N151" s="1" t="s">
        <v>477</v>
      </c>
      <c r="O151" s="15">
        <f>VLOOKUP(N151,Select!D:H,5,FALSE)</f>
        <v>0</v>
      </c>
    </row>
    <row r="152" spans="1:15">
      <c r="A152" s="14">
        <v>1705</v>
      </c>
      <c r="B152" s="1" t="s">
        <v>28</v>
      </c>
      <c r="C152" s="6">
        <f>VLOOKUP(B152,Select!A:H,8,FALSE)</f>
        <v>7</v>
      </c>
      <c r="D152" s="1" t="s">
        <v>10</v>
      </c>
      <c r="E152" s="6">
        <f>VLOOKUP(D152,Select!B:H,7,FALSE)</f>
        <v>0</v>
      </c>
      <c r="F152" s="1" t="s">
        <v>23</v>
      </c>
      <c r="G152" s="6">
        <f>VLOOKUP(F152,Select!C:H,6,FALSE)</f>
        <v>1</v>
      </c>
      <c r="H152" s="1" t="s">
        <v>215</v>
      </c>
      <c r="I152" s="1">
        <v>3</v>
      </c>
      <c r="J152" s="1"/>
      <c r="K152" s="1"/>
      <c r="L152" s="1"/>
      <c r="M152" s="1" t="b">
        <v>0</v>
      </c>
      <c r="N152" s="1" t="s">
        <v>477</v>
      </c>
      <c r="O152" s="15">
        <f>VLOOKUP(N152,Select!D:H,5,FALSE)</f>
        <v>0</v>
      </c>
    </row>
    <row r="153" spans="1:15">
      <c r="A153" s="14">
        <v>1706</v>
      </c>
      <c r="B153" s="5" t="s">
        <v>28</v>
      </c>
      <c r="C153" s="6">
        <f>VLOOKUP(B153,Select!A:H,8,FALSE)</f>
        <v>7</v>
      </c>
      <c r="D153" s="5" t="s">
        <v>36</v>
      </c>
      <c r="E153" s="6">
        <f>VLOOKUP(D153,Select!B:H,7,FALSE)</f>
        <v>1</v>
      </c>
      <c r="F153" s="5" t="s">
        <v>3</v>
      </c>
      <c r="G153" s="6">
        <f>VLOOKUP(F153,Select!C:H,6,FALSE)</f>
        <v>0</v>
      </c>
      <c r="H153" s="1" t="s">
        <v>216</v>
      </c>
      <c r="I153" s="1">
        <v>2</v>
      </c>
      <c r="J153" s="1">
        <v>2</v>
      </c>
      <c r="K153" s="1">
        <v>2</v>
      </c>
      <c r="L153" s="1"/>
      <c r="M153" s="1" t="b">
        <v>0</v>
      </c>
      <c r="N153" s="1" t="s">
        <v>477</v>
      </c>
      <c r="O153" s="15">
        <f>VLOOKUP(N153,Select!D:H,5,FALSE)</f>
        <v>0</v>
      </c>
    </row>
    <row r="154" spans="1:15">
      <c r="A154" s="14">
        <v>1707</v>
      </c>
      <c r="B154" s="1" t="s">
        <v>28</v>
      </c>
      <c r="C154" s="6">
        <f>VLOOKUP(B154,Select!A:H,8,FALSE)</f>
        <v>7</v>
      </c>
      <c r="D154" s="1" t="s">
        <v>36</v>
      </c>
      <c r="E154" s="6">
        <f>VLOOKUP(D154,Select!B:H,7,FALSE)</f>
        <v>1</v>
      </c>
      <c r="F154" s="1" t="s">
        <v>3</v>
      </c>
      <c r="G154" s="6">
        <f>VLOOKUP(F154,Select!C:H,6,FALSE)</f>
        <v>0</v>
      </c>
      <c r="H154" s="1" t="s">
        <v>217</v>
      </c>
      <c r="I154" s="1">
        <v>4</v>
      </c>
      <c r="J154" s="1">
        <v>3</v>
      </c>
      <c r="K154" s="1">
        <v>3</v>
      </c>
      <c r="L154" s="1"/>
      <c r="M154" s="1" t="b">
        <v>0</v>
      </c>
      <c r="N154" s="1" t="s">
        <v>477</v>
      </c>
      <c r="O154" s="15">
        <f>VLOOKUP(N154,Select!D:H,5,FALSE)</f>
        <v>0</v>
      </c>
    </row>
    <row r="155" spans="1:15">
      <c r="A155" s="14">
        <v>1708</v>
      </c>
      <c r="B155" s="5" t="s">
        <v>28</v>
      </c>
      <c r="C155" s="6">
        <f>VLOOKUP(B155,Select!A:H,8,FALSE)</f>
        <v>7</v>
      </c>
      <c r="D155" s="5" t="s">
        <v>36</v>
      </c>
      <c r="E155" s="6">
        <f>VLOOKUP(D155,Select!B:H,7,FALSE)</f>
        <v>1</v>
      </c>
      <c r="F155" s="5" t="s">
        <v>3</v>
      </c>
      <c r="G155" s="6">
        <f>VLOOKUP(F155,Select!C:H,6,FALSE)</f>
        <v>0</v>
      </c>
      <c r="H155" s="1" t="s">
        <v>218</v>
      </c>
      <c r="I155" s="1">
        <v>6</v>
      </c>
      <c r="J155" s="1">
        <v>5</v>
      </c>
      <c r="K155" s="1">
        <v>6</v>
      </c>
      <c r="L155" s="1"/>
      <c r="M155" s="1" t="b">
        <v>0</v>
      </c>
      <c r="N155" s="1" t="s">
        <v>477</v>
      </c>
      <c r="O155" s="15">
        <f>VLOOKUP(N155,Select!D:H,5,FALSE)</f>
        <v>0</v>
      </c>
    </row>
    <row r="156" spans="1:15">
      <c r="A156" s="14">
        <v>1709</v>
      </c>
      <c r="B156" s="1" t="s">
        <v>28</v>
      </c>
      <c r="C156" s="6">
        <f>VLOOKUP(B156,Select!A:H,8,FALSE)</f>
        <v>7</v>
      </c>
      <c r="D156" s="1" t="s">
        <v>36</v>
      </c>
      <c r="E156" s="6">
        <f>VLOOKUP(D156,Select!B:H,7,FALSE)</f>
        <v>1</v>
      </c>
      <c r="F156" s="1" t="s">
        <v>23</v>
      </c>
      <c r="G156" s="6">
        <f>VLOOKUP(F156,Select!C:H,6,FALSE)</f>
        <v>1</v>
      </c>
      <c r="H156" s="1" t="s">
        <v>219</v>
      </c>
      <c r="I156" s="1">
        <v>2</v>
      </c>
      <c r="J156" s="1"/>
      <c r="K156" s="1"/>
      <c r="L156" s="1"/>
      <c r="M156" s="1" t="b">
        <v>0</v>
      </c>
      <c r="N156" s="1" t="s">
        <v>477</v>
      </c>
      <c r="O156" s="15">
        <f>VLOOKUP(N156,Select!D:H,5,FALSE)</f>
        <v>0</v>
      </c>
    </row>
    <row r="157" spans="1:15">
      <c r="A157" s="14">
        <v>1710</v>
      </c>
      <c r="B157" s="5" t="s">
        <v>28</v>
      </c>
      <c r="C157" s="6">
        <f>VLOOKUP(B157,Select!A:H,8,FALSE)</f>
        <v>7</v>
      </c>
      <c r="D157" s="5" t="s">
        <v>36</v>
      </c>
      <c r="E157" s="6">
        <f>VLOOKUP(D157,Select!B:H,7,FALSE)</f>
        <v>1</v>
      </c>
      <c r="F157" s="5" t="s">
        <v>23</v>
      </c>
      <c r="G157" s="6">
        <f>VLOOKUP(F157,Select!C:H,6,FALSE)</f>
        <v>1</v>
      </c>
      <c r="H157" s="1" t="s">
        <v>220</v>
      </c>
      <c r="I157" s="1">
        <v>5</v>
      </c>
      <c r="J157" s="1"/>
      <c r="K157" s="1"/>
      <c r="L157" s="1"/>
      <c r="M157" s="1" t="b">
        <v>0</v>
      </c>
      <c r="N157" s="1" t="s">
        <v>477</v>
      </c>
      <c r="O157" s="15">
        <f>VLOOKUP(N157,Select!D:H,5,FALSE)</f>
        <v>0</v>
      </c>
    </row>
    <row r="158" spans="1:15">
      <c r="A158" s="14">
        <v>1711</v>
      </c>
      <c r="B158" s="1" t="s">
        <v>28</v>
      </c>
      <c r="C158" s="6">
        <f>VLOOKUP(B158,Select!A:H,8,FALSE)</f>
        <v>7</v>
      </c>
      <c r="D158" s="1" t="s">
        <v>21</v>
      </c>
      <c r="E158" s="6">
        <f>VLOOKUP(D158,Select!B:H,7,FALSE)</f>
        <v>2</v>
      </c>
      <c r="F158" s="1" t="s">
        <v>3</v>
      </c>
      <c r="G158" s="6">
        <f>VLOOKUP(F158,Select!C:H,6,FALSE)</f>
        <v>0</v>
      </c>
      <c r="H158" s="1" t="s">
        <v>221</v>
      </c>
      <c r="I158" s="1">
        <v>3</v>
      </c>
      <c r="J158" s="1">
        <v>2</v>
      </c>
      <c r="K158" s="1">
        <v>3</v>
      </c>
      <c r="L158" s="1"/>
      <c r="M158" s="1" t="b">
        <v>0</v>
      </c>
      <c r="N158" s="1" t="s">
        <v>477</v>
      </c>
      <c r="O158" s="15">
        <f>VLOOKUP(N158,Select!D:H,5,FALSE)</f>
        <v>0</v>
      </c>
    </row>
    <row r="159" spans="1:15">
      <c r="A159" s="14">
        <v>1712</v>
      </c>
      <c r="B159" s="5" t="s">
        <v>28</v>
      </c>
      <c r="C159" s="6">
        <f>VLOOKUP(B159,Select!A:H,8,FALSE)</f>
        <v>7</v>
      </c>
      <c r="D159" s="5" t="s">
        <v>21</v>
      </c>
      <c r="E159" s="6">
        <f>VLOOKUP(D159,Select!B:H,7,FALSE)</f>
        <v>2</v>
      </c>
      <c r="F159" s="5" t="s">
        <v>3</v>
      </c>
      <c r="G159" s="6">
        <f>VLOOKUP(F159,Select!C:H,6,FALSE)</f>
        <v>0</v>
      </c>
      <c r="H159" s="1" t="s">
        <v>222</v>
      </c>
      <c r="I159" s="1">
        <v>5</v>
      </c>
      <c r="J159" s="1">
        <v>2</v>
      </c>
      <c r="K159" s="1">
        <v>4</v>
      </c>
      <c r="L159" s="1"/>
      <c r="M159" s="1" t="b">
        <v>0</v>
      </c>
      <c r="N159" s="1" t="s">
        <v>477</v>
      </c>
      <c r="O159" s="15">
        <f>VLOOKUP(N159,Select!D:H,5,FALSE)</f>
        <v>0</v>
      </c>
    </row>
    <row r="160" spans="1:15">
      <c r="A160" s="14">
        <v>1713</v>
      </c>
      <c r="B160" s="1" t="s">
        <v>28</v>
      </c>
      <c r="C160" s="6">
        <f>VLOOKUP(B160,Select!A:H,8,FALSE)</f>
        <v>7</v>
      </c>
      <c r="D160" s="1" t="s">
        <v>21</v>
      </c>
      <c r="E160" s="6">
        <f>VLOOKUP(D160,Select!B:H,7,FALSE)</f>
        <v>2</v>
      </c>
      <c r="F160" s="1" t="s">
        <v>3</v>
      </c>
      <c r="G160" s="6">
        <f>VLOOKUP(F160,Select!C:H,6,FALSE)</f>
        <v>0</v>
      </c>
      <c r="H160" s="1" t="s">
        <v>223</v>
      </c>
      <c r="I160" s="1">
        <v>6</v>
      </c>
      <c r="J160" s="1">
        <v>5</v>
      </c>
      <c r="K160" s="1">
        <v>5</v>
      </c>
      <c r="L160" s="1"/>
      <c r="M160" s="1" t="b">
        <v>0</v>
      </c>
      <c r="N160" s="1" t="s">
        <v>477</v>
      </c>
      <c r="O160" s="15">
        <f>VLOOKUP(N160,Select!D:H,5,FALSE)</f>
        <v>0</v>
      </c>
    </row>
    <row r="161" spans="1:15">
      <c r="A161" s="14">
        <v>1714</v>
      </c>
      <c r="B161" s="5" t="s">
        <v>28</v>
      </c>
      <c r="C161" s="6">
        <f>VLOOKUP(B161,Select!A:H,8,FALSE)</f>
        <v>7</v>
      </c>
      <c r="D161" s="5" t="s">
        <v>21</v>
      </c>
      <c r="E161" s="6">
        <f>VLOOKUP(D161,Select!B:H,7,FALSE)</f>
        <v>2</v>
      </c>
      <c r="F161" s="5" t="s">
        <v>3</v>
      </c>
      <c r="G161" s="6">
        <f>VLOOKUP(F161,Select!C:H,6,FALSE)</f>
        <v>0</v>
      </c>
      <c r="H161" s="1" t="s">
        <v>224</v>
      </c>
      <c r="I161" s="1">
        <v>9</v>
      </c>
      <c r="J161" s="1">
        <v>7</v>
      </c>
      <c r="K161" s="1">
        <v>7</v>
      </c>
      <c r="L161" s="1"/>
      <c r="M161" s="1" t="b">
        <v>0</v>
      </c>
      <c r="N161" s="1" t="s">
        <v>477</v>
      </c>
      <c r="O161" s="15">
        <f>VLOOKUP(N161,Select!D:H,5,FALSE)</f>
        <v>0</v>
      </c>
    </row>
    <row r="162" spans="1:15">
      <c r="A162" s="14">
        <v>1715</v>
      </c>
      <c r="B162" s="1" t="s">
        <v>28</v>
      </c>
      <c r="C162" s="6">
        <f>VLOOKUP(B162,Select!A:H,8,FALSE)</f>
        <v>7</v>
      </c>
      <c r="D162" s="1" t="s">
        <v>13</v>
      </c>
      <c r="E162" s="6">
        <f>VLOOKUP(D162,Select!B:H,7,FALSE)</f>
        <v>2</v>
      </c>
      <c r="F162" s="1" t="s">
        <v>34</v>
      </c>
      <c r="G162" s="6">
        <f>VLOOKUP(F162,Select!C:H,6,FALSE)</f>
        <v>2</v>
      </c>
      <c r="H162" s="1" t="s">
        <v>225</v>
      </c>
      <c r="I162" s="1">
        <v>5</v>
      </c>
      <c r="J162" s="1"/>
      <c r="K162" s="1"/>
      <c r="L162" s="1"/>
      <c r="M162" s="1" t="b">
        <v>0</v>
      </c>
      <c r="N162" s="1" t="s">
        <v>477</v>
      </c>
      <c r="O162" s="15">
        <f>VLOOKUP(N162,Select!D:H,5,FALSE)</f>
        <v>0</v>
      </c>
    </row>
    <row r="163" spans="1:15">
      <c r="A163" s="14">
        <v>1716</v>
      </c>
      <c r="B163" s="5" t="s">
        <v>28</v>
      </c>
      <c r="C163" s="6">
        <f>VLOOKUP(B163,Select!A:H,8,FALSE)</f>
        <v>7</v>
      </c>
      <c r="D163" s="5" t="s">
        <v>30</v>
      </c>
      <c r="E163" s="6">
        <f>VLOOKUP(D163,Select!B:H,7,FALSE)</f>
        <v>3</v>
      </c>
      <c r="F163" s="5" t="s">
        <v>3</v>
      </c>
      <c r="G163" s="6">
        <f>VLOOKUP(F163,Select!C:H,6,FALSE)</f>
        <v>0</v>
      </c>
      <c r="H163" s="1" t="s">
        <v>226</v>
      </c>
      <c r="I163" s="1">
        <v>3</v>
      </c>
      <c r="J163" s="1">
        <v>3</v>
      </c>
      <c r="K163" s="1">
        <v>3</v>
      </c>
      <c r="L163" s="1"/>
      <c r="M163" s="1" t="b">
        <v>0</v>
      </c>
      <c r="N163" s="1" t="s">
        <v>477</v>
      </c>
      <c r="O163" s="15">
        <f>VLOOKUP(N163,Select!D:H,5,FALSE)</f>
        <v>0</v>
      </c>
    </row>
    <row r="164" spans="1:15">
      <c r="A164" s="14">
        <v>1717</v>
      </c>
      <c r="B164" s="1" t="s">
        <v>28</v>
      </c>
      <c r="C164" s="6">
        <f>VLOOKUP(B164,Select!A:H,8,FALSE)</f>
        <v>7</v>
      </c>
      <c r="D164" s="1" t="s">
        <v>30</v>
      </c>
      <c r="E164" s="6">
        <f>VLOOKUP(D164,Select!B:H,7,FALSE)</f>
        <v>3</v>
      </c>
      <c r="F164" s="1" t="s">
        <v>3</v>
      </c>
      <c r="G164" s="6">
        <f>VLOOKUP(F164,Select!C:H,6,FALSE)</f>
        <v>0</v>
      </c>
      <c r="H164" s="1" t="s">
        <v>227</v>
      </c>
      <c r="I164" s="1">
        <v>8</v>
      </c>
      <c r="J164" s="1">
        <v>5</v>
      </c>
      <c r="K164" s="1">
        <v>5</v>
      </c>
      <c r="L164" s="1"/>
      <c r="M164" s="1" t="b">
        <v>0</v>
      </c>
      <c r="N164" s="1" t="s">
        <v>477</v>
      </c>
      <c r="O164" s="15">
        <f>VLOOKUP(N164,Select!D:H,5,FALSE)</f>
        <v>0</v>
      </c>
    </row>
    <row r="165" spans="1:15">
      <c r="A165" s="14">
        <v>1718</v>
      </c>
      <c r="B165" s="5" t="s">
        <v>28</v>
      </c>
      <c r="C165" s="6">
        <f>VLOOKUP(B165,Select!A:H,8,FALSE)</f>
        <v>7</v>
      </c>
      <c r="D165" s="5" t="s">
        <v>30</v>
      </c>
      <c r="E165" s="6">
        <f>VLOOKUP(D165,Select!B:H,7,FALSE)</f>
        <v>3</v>
      </c>
      <c r="F165" s="5" t="s">
        <v>3</v>
      </c>
      <c r="G165" s="6">
        <f>VLOOKUP(F165,Select!C:H,6,FALSE)</f>
        <v>0</v>
      </c>
      <c r="H165" s="1" t="s">
        <v>228</v>
      </c>
      <c r="I165" s="1">
        <v>8</v>
      </c>
      <c r="J165" s="1">
        <v>2</v>
      </c>
      <c r="K165" s="1">
        <v>2</v>
      </c>
      <c r="L165" s="1"/>
      <c r="M165" s="1" t="b">
        <v>0</v>
      </c>
      <c r="N165" s="1" t="s">
        <v>477</v>
      </c>
      <c r="O165" s="15">
        <f>VLOOKUP(N165,Select!D:H,5,FALSE)</f>
        <v>0</v>
      </c>
    </row>
    <row r="166" spans="1:15">
      <c r="A166" s="21">
        <v>1719</v>
      </c>
      <c r="B166" s="8" t="s">
        <v>28</v>
      </c>
      <c r="C166" s="9">
        <f>VLOOKUP(B166,Select!A:H,8,FALSE)</f>
        <v>7</v>
      </c>
      <c r="D166" s="8" t="s">
        <v>30</v>
      </c>
      <c r="E166" s="9">
        <f>VLOOKUP(D166,Select!B:H,7,FALSE)</f>
        <v>3</v>
      </c>
      <c r="F166" s="8" t="s">
        <v>3</v>
      </c>
      <c r="G166" s="9">
        <f>VLOOKUP(F166,Select!C:H,6,FALSE)</f>
        <v>0</v>
      </c>
      <c r="H166" s="8" t="s">
        <v>257</v>
      </c>
      <c r="I166" s="8">
        <v>3</v>
      </c>
      <c r="J166" s="8">
        <v>1</v>
      </c>
      <c r="K166" s="8">
        <v>6</v>
      </c>
      <c r="L166" s="8"/>
      <c r="M166" s="8" t="b">
        <v>1</v>
      </c>
      <c r="N166" s="8" t="s">
        <v>470</v>
      </c>
      <c r="O166" s="20">
        <f>VLOOKUP(N166,Select!D:H,5,FALSE)</f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040152E5-7A77-435B-B1D7-19358C88862D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987A8AAC-A3E8-4CC3-BAF4-97D75FCFB361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4C2FD097-D9BD-44AA-B3EB-8BFE45AA6A3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D21574BD-95C1-4FF2-84B4-0E1478F98F7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E020006-111F-42ED-9BD7-B99130FB1D65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4A256A04-9678-4149-9E4B-038C69F5744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A6B2F8A4-58D7-440B-AD65-0FD161C20269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B648004A-D475-4477-934D-D6A127407F6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32E8C52B-CBA7-42FE-8C9F-82FEED6A38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1781510C-A1B6-441F-8F49-7CB94568E57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DC505BD3-780B-4713-9AD5-CCE35BCA035E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593090C-CDF6-481B-B136-17BAA18D2076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A8346DF-4265-417B-AE3A-C5FD46959A3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8FC89DA-651D-42C4-82F3-486F1D1CE9C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90D8942A-AF69-4F03-8BD3-FFCCE931B3F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523ED133-7594-4BF9-9022-B7077E32463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8CAF259-86C6-4C71-814B-3F16E0E37E3E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74C5D5C-ED6A-4540-AB8C-05C63384FDF3}">
          <x14:formula1>
            <xm:f>Select!$A:$A</xm:f>
          </x14:formula1>
          <xm:sqref>B2:B166</xm:sqref>
        </x14:dataValidation>
        <x14:dataValidation type="list" allowBlank="1" showInputMessage="1" showErrorMessage="1" xr:uid="{DA1E59CA-824F-4B9D-9557-13240AF45474}">
          <x14:formula1>
            <xm:f>Select!$B:$B</xm:f>
          </x14:formula1>
          <xm:sqref>D2:D166</xm:sqref>
        </x14:dataValidation>
        <x14:dataValidation type="list" allowBlank="1" showInputMessage="1" showErrorMessage="1" xr:uid="{C1B594D8-9857-40B5-887F-77C18035A19C}">
          <x14:formula1>
            <xm:f>Select!$C:$C</xm:f>
          </x14:formula1>
          <xm:sqref>F2:F166</xm:sqref>
        </x14:dataValidation>
        <x14:dataValidation type="list" allowBlank="1" showInputMessage="1" showErrorMessage="1" xr:uid="{FB3F2838-6951-43D6-B6B3-006FA43AC6D4}">
          <x14:formula1>
            <xm:f>Select!$D:$D</xm:f>
          </x14:formula1>
          <xm:sqref>N2:N166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A4AB0-73BA-4E48-AD8B-D0052FDCBF30}">
  <dimension ref="A1:O87"/>
  <sheetViews>
    <sheetView workbookViewId="0">
      <selection activeCell="S10" sqref="S10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6" t="s">
        <v>292</v>
      </c>
      <c r="B1" s="17" t="s">
        <v>293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7</v>
      </c>
      <c r="I1" s="17" t="s">
        <v>8</v>
      </c>
      <c r="J1" s="17" t="s">
        <v>9</v>
      </c>
      <c r="K1" s="17" t="s">
        <v>299</v>
      </c>
      <c r="L1" s="17" t="s">
        <v>1493</v>
      </c>
      <c r="M1" s="17" t="s">
        <v>301</v>
      </c>
      <c r="N1" s="17" t="s">
        <v>475</v>
      </c>
      <c r="O1" s="18" t="s">
        <v>476</v>
      </c>
    </row>
    <row r="2" spans="1:15">
      <c r="A2" s="13">
        <v>2000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263</v>
      </c>
      <c r="I2" s="5">
        <v>1</v>
      </c>
      <c r="J2" s="5">
        <v>1</v>
      </c>
      <c r="K2" s="5">
        <v>1</v>
      </c>
      <c r="L2" s="5"/>
      <c r="M2" s="5" t="b">
        <v>0</v>
      </c>
      <c r="N2" s="5" t="s">
        <v>477</v>
      </c>
      <c r="O2" s="15">
        <f>VLOOKUP(N2,Select!D:H,5,FALSE)</f>
        <v>0</v>
      </c>
    </row>
    <row r="3" spans="1:15">
      <c r="A3" s="14">
        <v>2001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23</v>
      </c>
      <c r="G3" s="6">
        <f>VLOOKUP(F3,Select!C:H,6,FALSE)</f>
        <v>1</v>
      </c>
      <c r="H3" s="1" t="s">
        <v>264</v>
      </c>
      <c r="I3" s="1">
        <v>2</v>
      </c>
      <c r="J3" s="1"/>
      <c r="K3" s="1"/>
      <c r="L3" s="1"/>
      <c r="M3" s="1" t="b">
        <v>0</v>
      </c>
      <c r="N3" s="1" t="s">
        <v>477</v>
      </c>
      <c r="O3" s="15">
        <f>VLOOKUP(N3,Select!D:H,5,FALSE)</f>
        <v>0</v>
      </c>
    </row>
    <row r="4" spans="1:15">
      <c r="A4" s="13">
        <v>2002</v>
      </c>
      <c r="B4" s="5" t="s">
        <v>1</v>
      </c>
      <c r="C4" s="6">
        <f>VLOOKUP(B4,Select!A:H,8,FALSE)</f>
        <v>0</v>
      </c>
      <c r="D4" s="5" t="s">
        <v>36</v>
      </c>
      <c r="E4" s="6">
        <f>VLOOKUP(D4,Select!B:H,7,FALSE)</f>
        <v>1</v>
      </c>
      <c r="F4" s="5" t="s">
        <v>3</v>
      </c>
      <c r="G4" s="6">
        <f>VLOOKUP(F4,Select!C:H,6,FALSE)</f>
        <v>0</v>
      </c>
      <c r="H4" s="5" t="s">
        <v>265</v>
      </c>
      <c r="I4" s="5">
        <v>2</v>
      </c>
      <c r="J4" s="5">
        <v>2</v>
      </c>
      <c r="K4" s="5">
        <v>2</v>
      </c>
      <c r="L4" s="5"/>
      <c r="M4" s="5" t="b">
        <v>0</v>
      </c>
      <c r="N4" s="5" t="s">
        <v>477</v>
      </c>
      <c r="O4" s="15">
        <f>VLOOKUP(N4,Select!D:H,5,FALSE)</f>
        <v>0</v>
      </c>
    </row>
    <row r="5" spans="1:15">
      <c r="A5" s="14">
        <v>2003</v>
      </c>
      <c r="B5" s="1" t="s">
        <v>1</v>
      </c>
      <c r="C5" s="6">
        <f>VLOOKUP(B5,Select!A:H,8,FALSE)</f>
        <v>0</v>
      </c>
      <c r="D5" s="1" t="s">
        <v>21</v>
      </c>
      <c r="E5" s="6">
        <f>VLOOKUP(D5,Select!B:H,7,FALSE)</f>
        <v>2</v>
      </c>
      <c r="F5" s="1" t="s">
        <v>3</v>
      </c>
      <c r="G5" s="6">
        <f>VLOOKUP(F5,Select!C:H,6,FALSE)</f>
        <v>0</v>
      </c>
      <c r="H5" s="1" t="s">
        <v>266</v>
      </c>
      <c r="I5" s="1">
        <v>2</v>
      </c>
      <c r="J5" s="1">
        <v>2</v>
      </c>
      <c r="K5" s="1">
        <v>2</v>
      </c>
      <c r="L5" s="1"/>
      <c r="M5" s="1" t="b">
        <v>0</v>
      </c>
      <c r="N5" s="1" t="s">
        <v>477</v>
      </c>
      <c r="O5" s="15">
        <f>VLOOKUP(N5,Select!D:H,5,FALSE)</f>
        <v>0</v>
      </c>
    </row>
    <row r="6" spans="1:15">
      <c r="A6" s="13">
        <v>2004</v>
      </c>
      <c r="B6" s="5" t="s">
        <v>1</v>
      </c>
      <c r="C6" s="6">
        <f>VLOOKUP(B6,Select!A:H,8,FALSE)</f>
        <v>0</v>
      </c>
      <c r="D6" s="5" t="s">
        <v>21</v>
      </c>
      <c r="E6" s="6">
        <f>VLOOKUP(D6,Select!B:H,7,FALSE)</f>
        <v>2</v>
      </c>
      <c r="F6" s="5" t="s">
        <v>3</v>
      </c>
      <c r="G6" s="6">
        <f>VLOOKUP(F6,Select!C:H,6,FALSE)</f>
        <v>0</v>
      </c>
      <c r="H6" s="5" t="s">
        <v>267</v>
      </c>
      <c r="I6" s="5">
        <v>7</v>
      </c>
      <c r="J6" s="5">
        <v>5</v>
      </c>
      <c r="K6" s="5">
        <v>5</v>
      </c>
      <c r="L6" s="5"/>
      <c r="M6" s="5" t="b">
        <v>0</v>
      </c>
      <c r="N6" s="5" t="s">
        <v>477</v>
      </c>
      <c r="O6" s="15">
        <f>VLOOKUP(N6,Select!D:H,5,FALSE)</f>
        <v>0</v>
      </c>
    </row>
    <row r="7" spans="1:15">
      <c r="A7" s="14">
        <v>2005</v>
      </c>
      <c r="B7" s="1" t="s">
        <v>1</v>
      </c>
      <c r="C7" s="6">
        <f>VLOOKUP(B7,Select!A:H,8,FALSE)</f>
        <v>0</v>
      </c>
      <c r="D7" s="1" t="s">
        <v>30</v>
      </c>
      <c r="E7" s="6">
        <f>VLOOKUP(D7,Select!B:H,7,FALSE)</f>
        <v>3</v>
      </c>
      <c r="F7" s="1" t="s">
        <v>3</v>
      </c>
      <c r="G7" s="6">
        <f>VLOOKUP(F7,Select!C:H,6,FALSE)</f>
        <v>0</v>
      </c>
      <c r="H7" s="1" t="s">
        <v>268</v>
      </c>
      <c r="I7" s="1">
        <v>3</v>
      </c>
      <c r="J7" s="1">
        <v>2</v>
      </c>
      <c r="K7" s="1">
        <v>3</v>
      </c>
      <c r="L7" s="1"/>
      <c r="M7" s="1" t="b">
        <v>0</v>
      </c>
      <c r="N7" s="1" t="s">
        <v>477</v>
      </c>
      <c r="O7" s="15">
        <f>VLOOKUP(N7,Select!D:H,5,FALSE)</f>
        <v>0</v>
      </c>
    </row>
    <row r="8" spans="1:15">
      <c r="A8" s="13">
        <v>2006</v>
      </c>
      <c r="B8" s="5" t="s">
        <v>1</v>
      </c>
      <c r="C8" s="6">
        <f>VLOOKUP(B8,Select!A:H,8,FALSE)</f>
        <v>0</v>
      </c>
      <c r="D8" s="5" t="s">
        <v>30</v>
      </c>
      <c r="E8" s="6">
        <f>VLOOKUP(D8,Select!B:H,7,FALSE)</f>
        <v>3</v>
      </c>
      <c r="F8" s="5" t="s">
        <v>3</v>
      </c>
      <c r="G8" s="6">
        <f>VLOOKUP(F8,Select!C:H,6,FALSE)</f>
        <v>0</v>
      </c>
      <c r="H8" s="5" t="s">
        <v>269</v>
      </c>
      <c r="I8" s="5">
        <v>7</v>
      </c>
      <c r="J8" s="5">
        <v>4</v>
      </c>
      <c r="K8" s="5">
        <v>2</v>
      </c>
      <c r="L8" s="5"/>
      <c r="M8" s="5" t="b">
        <v>0</v>
      </c>
      <c r="N8" s="5" t="s">
        <v>477</v>
      </c>
      <c r="O8" s="15">
        <f>VLOOKUP(N8,Select!D:H,5,FALSE)</f>
        <v>0</v>
      </c>
    </row>
    <row r="9" spans="1:15">
      <c r="A9" s="14">
        <v>2100</v>
      </c>
      <c r="B9" s="1" t="s">
        <v>24</v>
      </c>
      <c r="C9" s="6">
        <f>VLOOKUP(B9,Select!A:H,8,FALSE)</f>
        <v>1</v>
      </c>
      <c r="D9" s="1" t="s">
        <v>10</v>
      </c>
      <c r="E9" s="6">
        <f>VLOOKUP(D9,Select!B:H,7,FALSE)</f>
        <v>0</v>
      </c>
      <c r="F9" s="1" t="s">
        <v>3</v>
      </c>
      <c r="G9" s="6">
        <f>VLOOKUP(F9,Select!C:H,6,FALSE)</f>
        <v>0</v>
      </c>
      <c r="H9" s="1" t="s">
        <v>270</v>
      </c>
      <c r="I9" s="1">
        <v>3</v>
      </c>
      <c r="J9" s="1">
        <v>3</v>
      </c>
      <c r="K9" s="1">
        <v>3</v>
      </c>
      <c r="L9" s="1"/>
      <c r="M9" s="1" t="b">
        <v>0</v>
      </c>
      <c r="N9" s="1" t="s">
        <v>477</v>
      </c>
      <c r="O9" s="15">
        <f>VLOOKUP(N9,Select!D:H,5,FALSE)</f>
        <v>0</v>
      </c>
    </row>
    <row r="10" spans="1:15">
      <c r="A10" s="13">
        <v>2101</v>
      </c>
      <c r="B10" s="5" t="s">
        <v>24</v>
      </c>
      <c r="C10" s="6">
        <f>VLOOKUP(B10,Select!A:H,8,FALSE)</f>
        <v>1</v>
      </c>
      <c r="D10" s="5" t="s">
        <v>10</v>
      </c>
      <c r="E10" s="6">
        <f>VLOOKUP(D10,Select!B:H,7,FALSE)</f>
        <v>0</v>
      </c>
      <c r="F10" s="5" t="s">
        <v>3</v>
      </c>
      <c r="G10" s="6">
        <f>VLOOKUP(F10,Select!C:H,6,FALSE)</f>
        <v>0</v>
      </c>
      <c r="H10" s="5" t="s">
        <v>271</v>
      </c>
      <c r="I10" s="5">
        <v>5</v>
      </c>
      <c r="J10" s="5"/>
      <c r="K10" s="5">
        <v>5</v>
      </c>
      <c r="L10" s="5"/>
      <c r="M10" s="5" t="b">
        <v>0</v>
      </c>
      <c r="N10" s="5" t="s">
        <v>477</v>
      </c>
      <c r="O10" s="15">
        <f>VLOOKUP(N10,Select!D:H,5,FALSE)</f>
        <v>0</v>
      </c>
    </row>
    <row r="11" spans="1:15">
      <c r="A11" s="14">
        <v>2102</v>
      </c>
      <c r="B11" s="1" t="s">
        <v>24</v>
      </c>
      <c r="C11" s="6">
        <f>VLOOKUP(B11,Select!A:H,8,FALSE)</f>
        <v>1</v>
      </c>
      <c r="D11" s="1" t="s">
        <v>10</v>
      </c>
      <c r="E11" s="6">
        <f>VLOOKUP(D11,Select!B:H,7,FALSE)</f>
        <v>0</v>
      </c>
      <c r="F11" s="1" t="s">
        <v>23</v>
      </c>
      <c r="G11" s="6">
        <f>VLOOKUP(F11,Select!C:H,6,FALSE)</f>
        <v>1</v>
      </c>
      <c r="H11" s="1" t="s">
        <v>272</v>
      </c>
      <c r="I11" s="1">
        <v>7</v>
      </c>
      <c r="J11" s="1"/>
      <c r="K11" s="1"/>
      <c r="L11" s="1"/>
      <c r="M11" s="1" t="b">
        <v>0</v>
      </c>
      <c r="N11" s="1" t="s">
        <v>477</v>
      </c>
      <c r="O11" s="15">
        <f>VLOOKUP(N11,Select!D:H,5,FALSE)</f>
        <v>0</v>
      </c>
    </row>
    <row r="12" spans="1:15">
      <c r="A12" s="13">
        <v>2103</v>
      </c>
      <c r="B12" s="5" t="s">
        <v>24</v>
      </c>
      <c r="C12" s="6">
        <f>VLOOKUP(B12,Select!A:H,8,FALSE)</f>
        <v>1</v>
      </c>
      <c r="D12" s="5" t="s">
        <v>36</v>
      </c>
      <c r="E12" s="6">
        <f>VLOOKUP(D12,Select!B:H,7,FALSE)</f>
        <v>1</v>
      </c>
      <c r="F12" s="5" t="s">
        <v>3</v>
      </c>
      <c r="G12" s="6">
        <f>VLOOKUP(F12,Select!C:H,6,FALSE)</f>
        <v>0</v>
      </c>
      <c r="H12" s="5" t="s">
        <v>273</v>
      </c>
      <c r="I12" s="5">
        <v>2</v>
      </c>
      <c r="J12" s="5">
        <v>2</v>
      </c>
      <c r="K12" s="5">
        <v>2</v>
      </c>
      <c r="L12" s="5"/>
      <c r="M12" s="5" t="b">
        <v>0</v>
      </c>
      <c r="N12" s="5" t="s">
        <v>477</v>
      </c>
      <c r="O12" s="15">
        <f>VLOOKUP(N12,Select!D:H,5,FALSE)</f>
        <v>0</v>
      </c>
    </row>
    <row r="13" spans="1:15">
      <c r="A13" s="14">
        <v>2104</v>
      </c>
      <c r="B13" s="1" t="s">
        <v>24</v>
      </c>
      <c r="C13" s="6">
        <f>VLOOKUP(B13,Select!A:H,8,FALSE)</f>
        <v>1</v>
      </c>
      <c r="D13" s="1" t="s">
        <v>36</v>
      </c>
      <c r="E13" s="6">
        <f>VLOOKUP(D13,Select!B:H,7,FALSE)</f>
        <v>1</v>
      </c>
      <c r="F13" s="1" t="s">
        <v>3</v>
      </c>
      <c r="G13" s="6">
        <f>VLOOKUP(F13,Select!C:H,6,FALSE)</f>
        <v>0</v>
      </c>
      <c r="H13" s="1" t="s">
        <v>274</v>
      </c>
      <c r="I13" s="1">
        <v>6</v>
      </c>
      <c r="J13" s="1">
        <v>6</v>
      </c>
      <c r="K13" s="1">
        <v>6</v>
      </c>
      <c r="L13" s="1"/>
      <c r="M13" s="1" t="b">
        <v>0</v>
      </c>
      <c r="N13" s="1" t="s">
        <v>477</v>
      </c>
      <c r="O13" s="15">
        <f>VLOOKUP(N13,Select!D:H,5,FALSE)</f>
        <v>0</v>
      </c>
    </row>
    <row r="14" spans="1:15">
      <c r="A14" s="13">
        <v>2105</v>
      </c>
      <c r="B14" s="5" t="s">
        <v>24</v>
      </c>
      <c r="C14" s="6">
        <f>VLOOKUP(B14,Select!A:H,8,FALSE)</f>
        <v>1</v>
      </c>
      <c r="D14" s="5" t="s">
        <v>36</v>
      </c>
      <c r="E14" s="6">
        <f>VLOOKUP(D14,Select!B:H,7,FALSE)</f>
        <v>1</v>
      </c>
      <c r="F14" s="5" t="s">
        <v>23</v>
      </c>
      <c r="G14" s="6">
        <f>VLOOKUP(F14,Select!C:H,6,FALSE)</f>
        <v>1</v>
      </c>
      <c r="H14" s="5" t="s">
        <v>275</v>
      </c>
      <c r="I14" s="5">
        <v>1</v>
      </c>
      <c r="J14" s="5"/>
      <c r="K14" s="5"/>
      <c r="L14" s="5"/>
      <c r="M14" s="5" t="b">
        <v>0</v>
      </c>
      <c r="N14" s="5" t="s">
        <v>477</v>
      </c>
      <c r="O14" s="15">
        <f>VLOOKUP(N14,Select!D:H,5,FALSE)</f>
        <v>0</v>
      </c>
    </row>
    <row r="15" spans="1:15">
      <c r="A15" s="14">
        <v>2106</v>
      </c>
      <c r="B15" s="1" t="s">
        <v>24</v>
      </c>
      <c r="C15" s="6">
        <f>VLOOKUP(B15,Select!A:H,8,FALSE)</f>
        <v>1</v>
      </c>
      <c r="D15" s="1" t="s">
        <v>21</v>
      </c>
      <c r="E15" s="6">
        <f>VLOOKUP(D15,Select!B:H,7,FALSE)</f>
        <v>2</v>
      </c>
      <c r="F15" s="1" t="s">
        <v>3</v>
      </c>
      <c r="G15" s="6">
        <f>VLOOKUP(F15,Select!C:H,6,FALSE)</f>
        <v>0</v>
      </c>
      <c r="H15" s="1" t="s">
        <v>276</v>
      </c>
      <c r="I15" s="1">
        <v>4</v>
      </c>
      <c r="J15" s="1">
        <v>4</v>
      </c>
      <c r="K15" s="1">
        <v>3</v>
      </c>
      <c r="L15" s="1"/>
      <c r="M15" s="1" t="b">
        <v>0</v>
      </c>
      <c r="N15" s="1" t="s">
        <v>477</v>
      </c>
      <c r="O15" s="15">
        <f>VLOOKUP(N15,Select!D:H,5,FALSE)</f>
        <v>0</v>
      </c>
    </row>
    <row r="16" spans="1:15">
      <c r="A16" s="13">
        <v>2107</v>
      </c>
      <c r="B16" s="5" t="s">
        <v>24</v>
      </c>
      <c r="C16" s="6">
        <f>VLOOKUP(B16,Select!A:H,8,FALSE)</f>
        <v>1</v>
      </c>
      <c r="D16" s="5" t="s">
        <v>21</v>
      </c>
      <c r="E16" s="6">
        <f>VLOOKUP(D16,Select!B:H,7,FALSE)</f>
        <v>2</v>
      </c>
      <c r="F16" s="5" t="s">
        <v>23</v>
      </c>
      <c r="G16" s="6">
        <f>VLOOKUP(F16,Select!C:H,6,FALSE)</f>
        <v>1</v>
      </c>
      <c r="H16" s="5" t="s">
        <v>277</v>
      </c>
      <c r="I16" s="5">
        <v>2</v>
      </c>
      <c r="J16" s="5"/>
      <c r="K16" s="5"/>
      <c r="L16" s="5"/>
      <c r="M16" s="5" t="b">
        <v>0</v>
      </c>
      <c r="N16" s="5" t="s">
        <v>477</v>
      </c>
      <c r="O16" s="15">
        <f>VLOOKUP(N16,Select!D:H,5,FALSE)</f>
        <v>0</v>
      </c>
    </row>
    <row r="17" spans="1:15">
      <c r="A17" s="14">
        <v>2108</v>
      </c>
      <c r="B17" s="1" t="s">
        <v>24</v>
      </c>
      <c r="C17" s="6">
        <f>VLOOKUP(B17,Select!A:H,8,FALSE)</f>
        <v>1</v>
      </c>
      <c r="D17" s="1" t="s">
        <v>30</v>
      </c>
      <c r="E17" s="6">
        <f>VLOOKUP(D17,Select!B:H,7,FALSE)</f>
        <v>3</v>
      </c>
      <c r="F17" s="1" t="s">
        <v>3</v>
      </c>
      <c r="G17" s="6">
        <f>VLOOKUP(F17,Select!C:H,6,FALSE)</f>
        <v>0</v>
      </c>
      <c r="H17" s="1" t="s">
        <v>278</v>
      </c>
      <c r="I17" s="1">
        <v>4</v>
      </c>
      <c r="J17" s="1">
        <v>2</v>
      </c>
      <c r="K17" s="1">
        <v>2</v>
      </c>
      <c r="L17" s="1"/>
      <c r="M17" s="1" t="b">
        <v>0</v>
      </c>
      <c r="N17" s="1" t="s">
        <v>477</v>
      </c>
      <c r="O17" s="15">
        <f>VLOOKUP(N17,Select!D:H,5,FALSE)</f>
        <v>0</v>
      </c>
    </row>
    <row r="18" spans="1:15">
      <c r="A18" s="13">
        <v>2109</v>
      </c>
      <c r="B18" s="5" t="s">
        <v>24</v>
      </c>
      <c r="C18" s="6">
        <f>VLOOKUP(B18,Select!A:H,8,FALSE)</f>
        <v>1</v>
      </c>
      <c r="D18" s="5" t="s">
        <v>30</v>
      </c>
      <c r="E18" s="6">
        <f>VLOOKUP(D18,Select!B:H,7,FALSE)</f>
        <v>3</v>
      </c>
      <c r="F18" s="5" t="s">
        <v>3</v>
      </c>
      <c r="G18" s="6">
        <f>VLOOKUP(F18,Select!C:H,6,FALSE)</f>
        <v>0</v>
      </c>
      <c r="H18" s="5" t="s">
        <v>279</v>
      </c>
      <c r="I18" s="5">
        <v>7</v>
      </c>
      <c r="J18" s="5">
        <v>7</v>
      </c>
      <c r="K18" s="5">
        <v>7</v>
      </c>
      <c r="L18" s="5"/>
      <c r="M18" s="5" t="b">
        <v>0</v>
      </c>
      <c r="N18" s="5" t="s">
        <v>477</v>
      </c>
      <c r="O18" s="15">
        <f>VLOOKUP(N18,Select!D:H,5,FALSE)</f>
        <v>0</v>
      </c>
    </row>
    <row r="19" spans="1:15">
      <c r="A19" s="14">
        <v>2200</v>
      </c>
      <c r="B19" s="1" t="s">
        <v>25</v>
      </c>
      <c r="C19" s="6">
        <f>VLOOKUP(B19,Select!A:H,8,FALSE)</f>
        <v>2</v>
      </c>
      <c r="D19" s="1" t="s">
        <v>10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1" t="s">
        <v>280</v>
      </c>
      <c r="I19" s="1">
        <v>2</v>
      </c>
      <c r="J19" s="1">
        <v>2</v>
      </c>
      <c r="K19" s="1">
        <v>1</v>
      </c>
      <c r="L19" s="1"/>
      <c r="M19" s="1" t="b">
        <v>0</v>
      </c>
      <c r="N19" s="1" t="s">
        <v>477</v>
      </c>
      <c r="O19" s="15">
        <f>VLOOKUP(N19,Select!D:H,5,FALSE)</f>
        <v>0</v>
      </c>
    </row>
    <row r="20" spans="1:15">
      <c r="A20" s="13">
        <v>2201</v>
      </c>
      <c r="B20" s="5" t="s">
        <v>25</v>
      </c>
      <c r="C20" s="6">
        <f>VLOOKUP(B20,Select!A:H,8,FALSE)</f>
        <v>2</v>
      </c>
      <c r="D20" s="5" t="s">
        <v>10</v>
      </c>
      <c r="E20" s="6">
        <f>VLOOKUP(D20,Select!B:H,7,FALSE)</f>
        <v>0</v>
      </c>
      <c r="F20" s="5" t="s">
        <v>3</v>
      </c>
      <c r="G20" s="6">
        <f>VLOOKUP(F20,Select!C:H,6,FALSE)</f>
        <v>0</v>
      </c>
      <c r="H20" s="5" t="s">
        <v>281</v>
      </c>
      <c r="I20" s="5">
        <v>5</v>
      </c>
      <c r="J20" s="5">
        <v>4</v>
      </c>
      <c r="K20" s="5">
        <v>5</v>
      </c>
      <c r="L20" s="5"/>
      <c r="M20" s="5" t="b">
        <v>0</v>
      </c>
      <c r="N20" s="5" t="s">
        <v>477</v>
      </c>
      <c r="O20" s="15">
        <f>VLOOKUP(N20,Select!D:H,5,FALSE)</f>
        <v>0</v>
      </c>
    </row>
    <row r="21" spans="1:15">
      <c r="A21" s="14">
        <v>2202</v>
      </c>
      <c r="B21" s="1" t="s">
        <v>25</v>
      </c>
      <c r="C21" s="6">
        <f>VLOOKUP(B21,Select!A:H,8,FALSE)</f>
        <v>2</v>
      </c>
      <c r="D21" s="1" t="s">
        <v>10</v>
      </c>
      <c r="E21" s="6">
        <f>VLOOKUP(D21,Select!B:H,7,FALSE)</f>
        <v>0</v>
      </c>
      <c r="F21" s="1" t="s">
        <v>23</v>
      </c>
      <c r="G21" s="6">
        <f>VLOOKUP(F21,Select!C:H,6,FALSE)</f>
        <v>1</v>
      </c>
      <c r="H21" s="1" t="s">
        <v>282</v>
      </c>
      <c r="I21" s="1">
        <v>2</v>
      </c>
      <c r="J21" s="1"/>
      <c r="K21" s="1"/>
      <c r="L21" s="1"/>
      <c r="M21" s="1" t="b">
        <v>0</v>
      </c>
      <c r="N21" s="1" t="s">
        <v>477</v>
      </c>
      <c r="O21" s="15">
        <f>VLOOKUP(N21,Select!D:H,5,FALSE)</f>
        <v>0</v>
      </c>
    </row>
    <row r="22" spans="1:15">
      <c r="A22" s="13">
        <v>2203</v>
      </c>
      <c r="B22" s="5" t="s">
        <v>25</v>
      </c>
      <c r="C22" s="6">
        <f>VLOOKUP(B22,Select!A:H,8,FALSE)</f>
        <v>2</v>
      </c>
      <c r="D22" s="5" t="s">
        <v>36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283</v>
      </c>
      <c r="I22" s="5">
        <v>3</v>
      </c>
      <c r="J22" s="5">
        <v>3</v>
      </c>
      <c r="K22" s="5">
        <v>3</v>
      </c>
      <c r="L22" s="5"/>
      <c r="M22" s="5" t="b">
        <v>0</v>
      </c>
      <c r="N22" s="5" t="s">
        <v>477</v>
      </c>
      <c r="O22" s="15">
        <f>VLOOKUP(N22,Select!D:H,5,FALSE)</f>
        <v>0</v>
      </c>
    </row>
    <row r="23" spans="1:15">
      <c r="A23" s="14">
        <v>2204</v>
      </c>
      <c r="B23" s="1" t="s">
        <v>25</v>
      </c>
      <c r="C23" s="6">
        <f>VLOOKUP(B23,Select!A:H,8,FALSE)</f>
        <v>2</v>
      </c>
      <c r="D23" s="1" t="s">
        <v>36</v>
      </c>
      <c r="E23" s="6">
        <f>VLOOKUP(D23,Select!B:H,7,FALSE)</f>
        <v>1</v>
      </c>
      <c r="F23" s="1" t="s">
        <v>3</v>
      </c>
      <c r="G23" s="6">
        <f>VLOOKUP(F23,Select!C:H,6,FALSE)</f>
        <v>0</v>
      </c>
      <c r="H23" s="1" t="s">
        <v>284</v>
      </c>
      <c r="I23" s="1">
        <v>4</v>
      </c>
      <c r="J23" s="1">
        <v>3</v>
      </c>
      <c r="K23" s="1">
        <v>3</v>
      </c>
      <c r="L23" s="1"/>
      <c r="M23" s="1" t="b">
        <v>0</v>
      </c>
      <c r="N23" s="1" t="s">
        <v>477</v>
      </c>
      <c r="O23" s="15">
        <f>VLOOKUP(N23,Select!D:H,5,FALSE)</f>
        <v>0</v>
      </c>
    </row>
    <row r="24" spans="1:15">
      <c r="A24" s="13">
        <v>2205</v>
      </c>
      <c r="B24" s="5" t="s">
        <v>25</v>
      </c>
      <c r="C24" s="6">
        <f>VLOOKUP(B24,Select!A:H,8,FALSE)</f>
        <v>2</v>
      </c>
      <c r="D24" s="5" t="s">
        <v>36</v>
      </c>
      <c r="E24" s="6">
        <f>VLOOKUP(D24,Select!B:H,7,FALSE)</f>
        <v>1</v>
      </c>
      <c r="F24" s="5" t="s">
        <v>23</v>
      </c>
      <c r="G24" s="6">
        <f>VLOOKUP(F24,Select!C:H,6,FALSE)</f>
        <v>1</v>
      </c>
      <c r="H24" s="5" t="s">
        <v>285</v>
      </c>
      <c r="I24" s="5">
        <v>2</v>
      </c>
      <c r="J24" s="5"/>
      <c r="K24" s="5"/>
      <c r="L24" s="5"/>
      <c r="M24" s="5" t="b">
        <v>0</v>
      </c>
      <c r="N24" s="5" t="s">
        <v>477</v>
      </c>
      <c r="O24" s="15">
        <f>VLOOKUP(N24,Select!D:H,5,FALSE)</f>
        <v>0</v>
      </c>
    </row>
    <row r="25" spans="1:15">
      <c r="A25" s="14">
        <v>2206</v>
      </c>
      <c r="B25" s="1" t="s">
        <v>25</v>
      </c>
      <c r="C25" s="6">
        <f>VLOOKUP(B25,Select!A:H,8,FALSE)</f>
        <v>2</v>
      </c>
      <c r="D25" s="1" t="s">
        <v>21</v>
      </c>
      <c r="E25" s="6">
        <f>VLOOKUP(D25,Select!B:H,7,FALSE)</f>
        <v>2</v>
      </c>
      <c r="F25" s="1" t="s">
        <v>3</v>
      </c>
      <c r="G25" s="6">
        <f>VLOOKUP(F25,Select!C:H,6,FALSE)</f>
        <v>0</v>
      </c>
      <c r="H25" s="1" t="s">
        <v>286</v>
      </c>
      <c r="I25" s="1">
        <v>2</v>
      </c>
      <c r="J25" s="1">
        <v>1</v>
      </c>
      <c r="K25" s="1">
        <v>1</v>
      </c>
      <c r="L25" s="1"/>
      <c r="M25" s="1" t="b">
        <v>0</v>
      </c>
      <c r="N25" s="1" t="s">
        <v>477</v>
      </c>
      <c r="O25" s="15">
        <f>VLOOKUP(N25,Select!D:H,5,FALSE)</f>
        <v>0</v>
      </c>
    </row>
    <row r="26" spans="1:15">
      <c r="A26" s="13">
        <v>2207</v>
      </c>
      <c r="B26" s="5" t="s">
        <v>25</v>
      </c>
      <c r="C26" s="6">
        <f>VLOOKUP(B26,Select!A:H,8,FALSE)</f>
        <v>2</v>
      </c>
      <c r="D26" s="5" t="s">
        <v>21</v>
      </c>
      <c r="E26" s="6">
        <f>VLOOKUP(D26,Select!B:H,7,FALSE)</f>
        <v>2</v>
      </c>
      <c r="F26" s="5" t="s">
        <v>3</v>
      </c>
      <c r="G26" s="6">
        <f>VLOOKUP(F26,Select!C:H,6,FALSE)</f>
        <v>0</v>
      </c>
      <c r="H26" s="5" t="s">
        <v>287</v>
      </c>
      <c r="I26" s="5">
        <v>3</v>
      </c>
      <c r="J26" s="5">
        <v>3</v>
      </c>
      <c r="K26" s="5">
        <v>2</v>
      </c>
      <c r="L26" s="5"/>
      <c r="M26" s="5" t="b">
        <v>0</v>
      </c>
      <c r="N26" s="5" t="s">
        <v>477</v>
      </c>
      <c r="O26" s="15">
        <f>VLOOKUP(N26,Select!D:H,5,FALSE)</f>
        <v>0</v>
      </c>
    </row>
    <row r="27" spans="1:15">
      <c r="A27" s="14">
        <v>2208</v>
      </c>
      <c r="B27" s="1" t="s">
        <v>25</v>
      </c>
      <c r="C27" s="6">
        <f>VLOOKUP(B27,Select!A:H,8,FALSE)</f>
        <v>2</v>
      </c>
      <c r="D27" s="1" t="s">
        <v>30</v>
      </c>
      <c r="E27" s="6">
        <f>VLOOKUP(D27,Select!B:H,7,FALSE)</f>
        <v>3</v>
      </c>
      <c r="F27" s="1" t="s">
        <v>3</v>
      </c>
      <c r="G27" s="6">
        <f>VLOOKUP(F27,Select!C:H,6,FALSE)</f>
        <v>0</v>
      </c>
      <c r="H27" s="1" t="s">
        <v>288</v>
      </c>
      <c r="I27" s="1">
        <v>6</v>
      </c>
      <c r="J27" s="1">
        <v>4</v>
      </c>
      <c r="K27" s="1">
        <v>4</v>
      </c>
      <c r="L27" s="1"/>
      <c r="M27" s="1" t="b">
        <v>0</v>
      </c>
      <c r="N27" s="1" t="s">
        <v>485</v>
      </c>
      <c r="O27" s="15">
        <f>VLOOKUP(N27,Select!D:H,5,FALSE)</f>
        <v>15</v>
      </c>
    </row>
    <row r="28" spans="1:15">
      <c r="A28" s="13">
        <v>2209</v>
      </c>
      <c r="B28" s="5" t="s">
        <v>25</v>
      </c>
      <c r="C28" s="6">
        <f>VLOOKUP(B28,Select!A:H,8,FALSE)</f>
        <v>2</v>
      </c>
      <c r="D28" s="5" t="s">
        <v>30</v>
      </c>
      <c r="E28" s="6">
        <f>VLOOKUP(D28,Select!B:H,7,FALSE)</f>
        <v>3</v>
      </c>
      <c r="F28" s="5" t="s">
        <v>3</v>
      </c>
      <c r="G28" s="6">
        <f>VLOOKUP(F28,Select!C:H,6,FALSE)</f>
        <v>0</v>
      </c>
      <c r="H28" s="5" t="s">
        <v>289</v>
      </c>
      <c r="I28" s="5">
        <v>8</v>
      </c>
      <c r="J28" s="5">
        <v>5</v>
      </c>
      <c r="K28" s="5">
        <v>7</v>
      </c>
      <c r="L28" s="5"/>
      <c r="M28" s="5" t="b">
        <v>0</v>
      </c>
      <c r="N28" s="5" t="s">
        <v>481</v>
      </c>
      <c r="O28" s="15">
        <f>VLOOKUP(N28,Select!D:H,5,FALSE)</f>
        <v>3</v>
      </c>
    </row>
    <row r="29" spans="1:15">
      <c r="A29" s="14">
        <v>2210</v>
      </c>
      <c r="B29" s="1" t="s">
        <v>25</v>
      </c>
      <c r="C29" s="6">
        <f>VLOOKUP(B29,Select!A:H,8,FALSE)</f>
        <v>2</v>
      </c>
      <c r="D29" s="1" t="s">
        <v>21</v>
      </c>
      <c r="E29" s="6">
        <f>VLOOKUP(D29,Select!B:H,7,FALSE)</f>
        <v>2</v>
      </c>
      <c r="F29" s="1" t="s">
        <v>3</v>
      </c>
      <c r="G29" s="6">
        <f>VLOOKUP(F29,Select!C:H,6,FALSE)</f>
        <v>0</v>
      </c>
      <c r="H29" s="1" t="s">
        <v>290</v>
      </c>
      <c r="I29" s="1">
        <v>2</v>
      </c>
      <c r="J29" s="1">
        <v>2</v>
      </c>
      <c r="K29" s="1">
        <v>2</v>
      </c>
      <c r="L29" s="1"/>
      <c r="M29" s="1" t="b">
        <v>1</v>
      </c>
      <c r="N29" s="1" t="s">
        <v>477</v>
      </c>
      <c r="O29" s="15">
        <f>VLOOKUP(N29,Select!D:H,5,FALSE)</f>
        <v>0</v>
      </c>
    </row>
    <row r="30" spans="1:15">
      <c r="A30" s="13">
        <v>2300</v>
      </c>
      <c r="B30" s="5" t="s">
        <v>22</v>
      </c>
      <c r="C30" s="6">
        <f>VLOOKUP(B30,Select!A:H,8,FALSE)</f>
        <v>3</v>
      </c>
      <c r="D30" s="5" t="s">
        <v>10</v>
      </c>
      <c r="E30" s="6">
        <f>VLOOKUP(D30,Select!B:H,7,FALSE)</f>
        <v>0</v>
      </c>
      <c r="F30" s="5" t="s">
        <v>3</v>
      </c>
      <c r="G30" s="6">
        <f>VLOOKUP(F30,Select!C:H,6,FALSE)</f>
        <v>0</v>
      </c>
      <c r="H30" s="5" t="s">
        <v>291</v>
      </c>
      <c r="I30" s="5">
        <v>2</v>
      </c>
      <c r="J30" s="5">
        <v>2</v>
      </c>
      <c r="K30" s="5">
        <v>2</v>
      </c>
      <c r="L30" s="5"/>
      <c r="M30" s="5" t="b">
        <v>0</v>
      </c>
      <c r="N30" s="5" t="s">
        <v>477</v>
      </c>
      <c r="O30" s="15">
        <f>VLOOKUP(N30,Select!D:H,5,FALSE)</f>
        <v>0</v>
      </c>
    </row>
    <row r="31" spans="1:15">
      <c r="A31" s="14">
        <v>2301</v>
      </c>
      <c r="B31" s="1" t="s">
        <v>22</v>
      </c>
      <c r="C31" s="6">
        <f>VLOOKUP(B31,Select!A:H,8,FALSE)</f>
        <v>3</v>
      </c>
      <c r="D31" s="1" t="s">
        <v>10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302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477</v>
      </c>
      <c r="O31" s="15">
        <f>VLOOKUP(N31,Select!D:H,5,FALSE)</f>
        <v>0</v>
      </c>
    </row>
    <row r="32" spans="1:15">
      <c r="A32" s="13">
        <v>2302</v>
      </c>
      <c r="B32" s="5" t="s">
        <v>22</v>
      </c>
      <c r="C32" s="6">
        <f>VLOOKUP(B32,Select!A:H,8,FALSE)</f>
        <v>3</v>
      </c>
      <c r="D32" s="5" t="s">
        <v>10</v>
      </c>
      <c r="E32" s="6">
        <f>VLOOKUP(D32,Select!B:H,7,FALSE)</f>
        <v>0</v>
      </c>
      <c r="F32" s="5" t="s">
        <v>23</v>
      </c>
      <c r="G32" s="6">
        <f>VLOOKUP(F32,Select!C:H,6,FALSE)</f>
        <v>1</v>
      </c>
      <c r="H32" s="5" t="s">
        <v>303</v>
      </c>
      <c r="I32" s="5">
        <v>4</v>
      </c>
      <c r="J32" s="5"/>
      <c r="K32" s="5"/>
      <c r="L32" s="5"/>
      <c r="M32" s="5" t="b">
        <v>0</v>
      </c>
      <c r="N32" s="5" t="s">
        <v>477</v>
      </c>
      <c r="O32" s="15">
        <f>VLOOKUP(N32,Select!D:H,5,FALSE)</f>
        <v>0</v>
      </c>
    </row>
    <row r="33" spans="1:15">
      <c r="A33" s="14">
        <v>2303</v>
      </c>
      <c r="B33" s="1" t="s">
        <v>22</v>
      </c>
      <c r="C33" s="6">
        <f>VLOOKUP(B33,Select!A:H,8,FALSE)</f>
        <v>3</v>
      </c>
      <c r="D33" s="1" t="s">
        <v>36</v>
      </c>
      <c r="E33" s="6">
        <f>VLOOKUP(D33,Select!B:H,7,FALSE)</f>
        <v>1</v>
      </c>
      <c r="F33" s="1" t="s">
        <v>3</v>
      </c>
      <c r="G33" s="6">
        <f>VLOOKUP(F33,Select!C:H,6,FALSE)</f>
        <v>0</v>
      </c>
      <c r="H33" s="1" t="s">
        <v>304</v>
      </c>
      <c r="I33" s="1">
        <v>4</v>
      </c>
      <c r="J33" s="1">
        <v>3</v>
      </c>
      <c r="K33" s="1">
        <v>3</v>
      </c>
      <c r="L33" s="1"/>
      <c r="M33" s="1" t="b">
        <v>0</v>
      </c>
      <c r="N33" s="1" t="s">
        <v>477</v>
      </c>
      <c r="O33" s="15">
        <f>VLOOKUP(N33,Select!D:H,5,FALSE)</f>
        <v>0</v>
      </c>
    </row>
    <row r="34" spans="1:15">
      <c r="A34" s="13">
        <v>2304</v>
      </c>
      <c r="B34" s="5" t="s">
        <v>22</v>
      </c>
      <c r="C34" s="6">
        <f>VLOOKUP(B34,Select!A:H,8,FALSE)</f>
        <v>3</v>
      </c>
      <c r="D34" s="5" t="s">
        <v>36</v>
      </c>
      <c r="E34" s="6">
        <f>VLOOKUP(D34,Select!B:H,7,FALSE)</f>
        <v>1</v>
      </c>
      <c r="F34" s="5" t="s">
        <v>3</v>
      </c>
      <c r="G34" s="6">
        <f>VLOOKUP(F34,Select!C:H,6,FALSE)</f>
        <v>0</v>
      </c>
      <c r="H34" s="5" t="s">
        <v>305</v>
      </c>
      <c r="I34" s="5">
        <v>5</v>
      </c>
      <c r="J34" s="5">
        <v>4</v>
      </c>
      <c r="K34" s="5">
        <v>4</v>
      </c>
      <c r="L34" s="5"/>
      <c r="M34" s="5" t="b">
        <v>0</v>
      </c>
      <c r="N34" s="5" t="s">
        <v>477</v>
      </c>
      <c r="O34" s="15">
        <f>VLOOKUP(N34,Select!D:H,5,FALSE)</f>
        <v>0</v>
      </c>
    </row>
    <row r="35" spans="1:15">
      <c r="A35" s="14">
        <v>2305</v>
      </c>
      <c r="B35" s="1" t="s">
        <v>22</v>
      </c>
      <c r="C35" s="6">
        <f>VLOOKUP(B35,Select!A:H,8,FALSE)</f>
        <v>3</v>
      </c>
      <c r="D35" s="1" t="s">
        <v>36</v>
      </c>
      <c r="E35" s="6">
        <f>VLOOKUP(D35,Select!B:H,7,FALSE)</f>
        <v>1</v>
      </c>
      <c r="F35" s="1" t="s">
        <v>23</v>
      </c>
      <c r="G35" s="6">
        <f>VLOOKUP(F35,Select!C:H,6,FALSE)</f>
        <v>1</v>
      </c>
      <c r="H35" s="1" t="s">
        <v>306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15">
        <f>VLOOKUP(N35,Select!D:H,5,FALSE)</f>
        <v>0</v>
      </c>
    </row>
    <row r="36" spans="1:15">
      <c r="A36" s="13">
        <v>2306</v>
      </c>
      <c r="B36" s="5" t="s">
        <v>22</v>
      </c>
      <c r="C36" s="6">
        <f>VLOOKUP(B36,Select!A:H,8,FALSE)</f>
        <v>3</v>
      </c>
      <c r="D36" s="5" t="s">
        <v>21</v>
      </c>
      <c r="E36" s="6">
        <f>VLOOKUP(D36,Select!B:H,7,FALSE)</f>
        <v>2</v>
      </c>
      <c r="F36" s="5" t="s">
        <v>3</v>
      </c>
      <c r="G36" s="6">
        <f>VLOOKUP(F36,Select!C:H,6,FALSE)</f>
        <v>0</v>
      </c>
      <c r="H36" s="5" t="s">
        <v>307</v>
      </c>
      <c r="I36" s="5">
        <v>3</v>
      </c>
      <c r="J36" s="5">
        <v>3</v>
      </c>
      <c r="K36" s="5">
        <v>3</v>
      </c>
      <c r="L36" s="5"/>
      <c r="M36" s="5" t="b">
        <v>0</v>
      </c>
      <c r="N36" s="5" t="s">
        <v>482</v>
      </c>
      <c r="O36" s="15">
        <f>VLOOKUP(N36,Select!D:H,5,FALSE)</f>
        <v>7</v>
      </c>
    </row>
    <row r="37" spans="1:15">
      <c r="A37" s="14">
        <v>2307</v>
      </c>
      <c r="B37" s="1" t="s">
        <v>22</v>
      </c>
      <c r="C37" s="6">
        <f>VLOOKUP(B37,Select!A:H,8,FALSE)</f>
        <v>3</v>
      </c>
      <c r="D37" s="1" t="s">
        <v>21</v>
      </c>
      <c r="E37" s="6">
        <f>VLOOKUP(D37,Select!B:H,7,FALSE)</f>
        <v>2</v>
      </c>
      <c r="F37" s="1" t="s">
        <v>23</v>
      </c>
      <c r="G37" s="6">
        <f>VLOOKUP(F37,Select!C:H,6,FALSE)</f>
        <v>1</v>
      </c>
      <c r="H37" s="1" t="s">
        <v>308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15">
        <f>VLOOKUP(N37,Select!D:H,5,FALSE)</f>
        <v>0</v>
      </c>
    </row>
    <row r="38" spans="1:15">
      <c r="A38" s="13">
        <v>2308</v>
      </c>
      <c r="B38" s="5" t="s">
        <v>22</v>
      </c>
      <c r="C38" s="6">
        <f>VLOOKUP(B38,Select!A:H,8,FALSE)</f>
        <v>3</v>
      </c>
      <c r="D38" s="5" t="s">
        <v>30</v>
      </c>
      <c r="E38" s="6">
        <f>VLOOKUP(D38,Select!B:H,7,FALSE)</f>
        <v>3</v>
      </c>
      <c r="F38" s="5" t="s">
        <v>3</v>
      </c>
      <c r="G38" s="6">
        <f>VLOOKUP(F38,Select!C:H,6,FALSE)</f>
        <v>0</v>
      </c>
      <c r="H38" s="5" t="s">
        <v>309</v>
      </c>
      <c r="I38" s="5">
        <v>6</v>
      </c>
      <c r="J38" s="5">
        <v>5</v>
      </c>
      <c r="K38" s="5">
        <v>5</v>
      </c>
      <c r="L38" s="5"/>
      <c r="M38" s="5" t="b">
        <v>0</v>
      </c>
      <c r="N38" s="5" t="s">
        <v>482</v>
      </c>
      <c r="O38" s="15">
        <f>VLOOKUP(N38,Select!D:H,5,FALSE)</f>
        <v>7</v>
      </c>
    </row>
    <row r="39" spans="1:15">
      <c r="A39" s="14">
        <v>2309</v>
      </c>
      <c r="B39" s="1" t="s">
        <v>22</v>
      </c>
      <c r="C39" s="6">
        <f>VLOOKUP(B39,Select!A:H,8,FALSE)</f>
        <v>3</v>
      </c>
      <c r="D39" s="1" t="s">
        <v>30</v>
      </c>
      <c r="E39" s="6">
        <f>VLOOKUP(D39,Select!B:H,7,FALSE)</f>
        <v>3</v>
      </c>
      <c r="F39" s="1" t="s">
        <v>3</v>
      </c>
      <c r="G39" s="6">
        <f>VLOOKUP(F39,Select!C:H,6,FALSE)</f>
        <v>0</v>
      </c>
      <c r="H39" s="1" t="s">
        <v>310</v>
      </c>
      <c r="I39" s="1">
        <v>8</v>
      </c>
      <c r="J39" s="1">
        <v>5</v>
      </c>
      <c r="K39" s="1">
        <v>5</v>
      </c>
      <c r="L39" s="1"/>
      <c r="M39" s="1" t="b">
        <v>0</v>
      </c>
      <c r="N39" s="1" t="s">
        <v>485</v>
      </c>
      <c r="O39" s="15">
        <f>VLOOKUP(N39,Select!D:H,5,FALSE)</f>
        <v>15</v>
      </c>
    </row>
    <row r="40" spans="1:15">
      <c r="A40" s="13">
        <v>2310</v>
      </c>
      <c r="B40" s="5" t="s">
        <v>22</v>
      </c>
      <c r="C40" s="6">
        <f>VLOOKUP(B40,Select!A:H,8,FALSE)</f>
        <v>3</v>
      </c>
      <c r="D40" s="5" t="s">
        <v>36</v>
      </c>
      <c r="E40" s="6">
        <f>VLOOKUP(D40,Select!B:H,7,FALSE)</f>
        <v>1</v>
      </c>
      <c r="F40" s="5" t="s">
        <v>3</v>
      </c>
      <c r="G40" s="6">
        <f>VLOOKUP(F40,Select!C:H,6,FALSE)</f>
        <v>0</v>
      </c>
      <c r="H40" s="5" t="s">
        <v>311</v>
      </c>
      <c r="I40" s="5">
        <v>1</v>
      </c>
      <c r="J40" s="5">
        <v>1</v>
      </c>
      <c r="K40" s="5">
        <v>1</v>
      </c>
      <c r="L40" s="5"/>
      <c r="M40" s="5" t="b">
        <v>1</v>
      </c>
      <c r="N40" s="5" t="s">
        <v>477</v>
      </c>
      <c r="O40" s="15">
        <f>VLOOKUP(N40,Select!D:H,5,FALSE)</f>
        <v>0</v>
      </c>
    </row>
    <row r="41" spans="1:15">
      <c r="A41" s="14">
        <v>2400</v>
      </c>
      <c r="B41" s="1" t="s">
        <v>26</v>
      </c>
      <c r="C41" s="6">
        <f>VLOOKUP(B41,Select!A:H,8,FALSE)</f>
        <v>4</v>
      </c>
      <c r="D41" s="1" t="s">
        <v>10</v>
      </c>
      <c r="E41" s="6">
        <f>VLOOKUP(D41,Select!B:H,7,FALSE)</f>
        <v>0</v>
      </c>
      <c r="F41" s="1" t="s">
        <v>3</v>
      </c>
      <c r="G41" s="6">
        <f>VLOOKUP(F41,Select!C:H,6,FALSE)</f>
        <v>0</v>
      </c>
      <c r="H41" s="1" t="s">
        <v>312</v>
      </c>
      <c r="I41" s="1">
        <v>1</v>
      </c>
      <c r="J41" s="1">
        <v>1</v>
      </c>
      <c r="K41" s="1">
        <v>1</v>
      </c>
      <c r="L41" s="1"/>
      <c r="M41" s="1" t="b">
        <v>0</v>
      </c>
      <c r="N41" s="1" t="s">
        <v>477</v>
      </c>
      <c r="O41" s="15">
        <f>VLOOKUP(N41,Select!D:H,5,FALSE)</f>
        <v>0</v>
      </c>
    </row>
    <row r="42" spans="1:15">
      <c r="A42" s="13">
        <v>2401</v>
      </c>
      <c r="B42" s="5" t="s">
        <v>26</v>
      </c>
      <c r="C42" s="6">
        <f>VLOOKUP(B42,Select!A:H,8,FALSE)</f>
        <v>4</v>
      </c>
      <c r="D42" s="5" t="s">
        <v>10</v>
      </c>
      <c r="E42" s="6">
        <f>VLOOKUP(D42,Select!B:H,7,FALSE)</f>
        <v>0</v>
      </c>
      <c r="F42" s="5" t="s">
        <v>3</v>
      </c>
      <c r="G42" s="6">
        <f>VLOOKUP(F42,Select!C:H,6,FALSE)</f>
        <v>0</v>
      </c>
      <c r="H42" s="5" t="s">
        <v>313</v>
      </c>
      <c r="I42" s="5">
        <v>10</v>
      </c>
      <c r="J42" s="5">
        <v>4</v>
      </c>
      <c r="K42" s="5">
        <v>4</v>
      </c>
      <c r="L42" s="5"/>
      <c r="M42" s="5" t="b">
        <v>0</v>
      </c>
      <c r="N42" s="5" t="s">
        <v>477</v>
      </c>
      <c r="O42" s="15">
        <f>VLOOKUP(N42,Select!D:H,5,FALSE)</f>
        <v>0</v>
      </c>
    </row>
    <row r="43" spans="1:15">
      <c r="A43" s="14">
        <v>2402</v>
      </c>
      <c r="B43" s="1" t="s">
        <v>26</v>
      </c>
      <c r="C43" s="6">
        <f>VLOOKUP(B43,Select!A:H,8,FALSE)</f>
        <v>4</v>
      </c>
      <c r="D43" s="1" t="s">
        <v>10</v>
      </c>
      <c r="E43" s="6">
        <f>VLOOKUP(D43,Select!B:H,7,FALSE)</f>
        <v>0</v>
      </c>
      <c r="F43" s="1" t="s">
        <v>23</v>
      </c>
      <c r="G43" s="6">
        <f>VLOOKUP(F43,Select!C:H,6,FALSE)</f>
        <v>1</v>
      </c>
      <c r="H43" s="1" t="s">
        <v>314</v>
      </c>
      <c r="I43" s="1">
        <v>2</v>
      </c>
      <c r="J43" s="1"/>
      <c r="K43" s="1"/>
      <c r="L43" s="1"/>
      <c r="M43" s="1" t="b">
        <v>0</v>
      </c>
      <c r="N43" s="1" t="s">
        <v>477</v>
      </c>
      <c r="O43" s="15">
        <f>VLOOKUP(N43,Select!D:H,5,FALSE)</f>
        <v>0</v>
      </c>
    </row>
    <row r="44" spans="1:15">
      <c r="A44" s="13">
        <v>2403</v>
      </c>
      <c r="B44" s="5" t="s">
        <v>26</v>
      </c>
      <c r="C44" s="6">
        <f>VLOOKUP(B44,Select!A:H,8,FALSE)</f>
        <v>4</v>
      </c>
      <c r="D44" s="5" t="s">
        <v>36</v>
      </c>
      <c r="E44" s="6">
        <f>VLOOKUP(D44,Select!B:H,7,FALSE)</f>
        <v>1</v>
      </c>
      <c r="F44" s="5" t="s">
        <v>3</v>
      </c>
      <c r="G44" s="6">
        <f>VLOOKUP(F44,Select!C:H,6,FALSE)</f>
        <v>0</v>
      </c>
      <c r="H44" s="5" t="s">
        <v>315</v>
      </c>
      <c r="I44" s="5">
        <v>2</v>
      </c>
      <c r="J44" s="5">
        <v>2</v>
      </c>
      <c r="K44" s="5">
        <v>2</v>
      </c>
      <c r="L44" s="5"/>
      <c r="M44" s="5" t="b">
        <v>0</v>
      </c>
      <c r="N44" s="5" t="s">
        <v>477</v>
      </c>
      <c r="O44" s="15">
        <f>VLOOKUP(N44,Select!D:H,5,FALSE)</f>
        <v>0</v>
      </c>
    </row>
    <row r="45" spans="1:15">
      <c r="A45" s="14">
        <v>2404</v>
      </c>
      <c r="B45" s="1" t="s">
        <v>26</v>
      </c>
      <c r="C45" s="6">
        <f>VLOOKUP(B45,Select!A:H,8,FALSE)</f>
        <v>4</v>
      </c>
      <c r="D45" s="1" t="s">
        <v>36</v>
      </c>
      <c r="E45" s="6">
        <f>VLOOKUP(D45,Select!B:H,7,FALSE)</f>
        <v>1</v>
      </c>
      <c r="F45" s="1" t="s">
        <v>3</v>
      </c>
      <c r="G45" s="6">
        <f>VLOOKUP(F45,Select!C:H,6,FALSE)</f>
        <v>0</v>
      </c>
      <c r="H45" s="1" t="s">
        <v>316</v>
      </c>
      <c r="I45" s="1">
        <v>5</v>
      </c>
      <c r="J45" s="1">
        <v>3</v>
      </c>
      <c r="K45" s="1">
        <v>3</v>
      </c>
      <c r="L45" s="1"/>
      <c r="M45" s="1" t="b">
        <v>0</v>
      </c>
      <c r="N45" s="1" t="s">
        <v>477</v>
      </c>
      <c r="O45" s="15">
        <f>VLOOKUP(N45,Select!D:H,5,FALSE)</f>
        <v>0</v>
      </c>
    </row>
    <row r="46" spans="1:15">
      <c r="A46" s="13">
        <v>2405</v>
      </c>
      <c r="B46" s="5" t="s">
        <v>26</v>
      </c>
      <c r="C46" s="6">
        <f>VLOOKUP(B46,Select!A:H,8,FALSE)</f>
        <v>4</v>
      </c>
      <c r="D46" s="5" t="s">
        <v>36</v>
      </c>
      <c r="E46" s="6">
        <f>VLOOKUP(D46,Select!B:H,7,FALSE)</f>
        <v>1</v>
      </c>
      <c r="F46" s="5" t="s">
        <v>34</v>
      </c>
      <c r="G46" s="6">
        <f>VLOOKUP(F46,Select!C:H,6,FALSE)</f>
        <v>2</v>
      </c>
      <c r="H46" s="5" t="s">
        <v>317</v>
      </c>
      <c r="I46" s="5">
        <v>1</v>
      </c>
      <c r="J46" s="5"/>
      <c r="K46" s="5"/>
      <c r="L46" s="5"/>
      <c r="M46" s="5" t="b">
        <v>0</v>
      </c>
      <c r="N46" s="5" t="s">
        <v>477</v>
      </c>
      <c r="O46" s="15">
        <f>VLOOKUP(N46,Select!D:H,5,FALSE)</f>
        <v>0</v>
      </c>
    </row>
    <row r="47" spans="1:15">
      <c r="A47" s="14">
        <v>2406</v>
      </c>
      <c r="B47" s="1" t="s">
        <v>26</v>
      </c>
      <c r="C47" s="6">
        <f>VLOOKUP(B47,Select!A:H,8,FALSE)</f>
        <v>4</v>
      </c>
      <c r="D47" s="1" t="s">
        <v>21</v>
      </c>
      <c r="E47" s="6">
        <f>VLOOKUP(D47,Select!B:H,7,FALSE)</f>
        <v>2</v>
      </c>
      <c r="F47" s="1" t="s">
        <v>3</v>
      </c>
      <c r="G47" s="6">
        <f>VLOOKUP(F47,Select!C:H,6,FALSE)</f>
        <v>0</v>
      </c>
      <c r="H47" s="1" t="s">
        <v>318</v>
      </c>
      <c r="I47" s="1">
        <v>7</v>
      </c>
      <c r="J47" s="1">
        <v>5</v>
      </c>
      <c r="K47" s="1">
        <v>5</v>
      </c>
      <c r="L47" s="1"/>
      <c r="M47" s="1" t="b">
        <v>0</v>
      </c>
      <c r="N47" s="1" t="s">
        <v>477</v>
      </c>
      <c r="O47" s="15">
        <f>VLOOKUP(N47,Select!D:H,5,FALSE)</f>
        <v>0</v>
      </c>
    </row>
    <row r="48" spans="1:15">
      <c r="A48" s="13">
        <v>2407</v>
      </c>
      <c r="B48" s="5" t="s">
        <v>26</v>
      </c>
      <c r="C48" s="6">
        <f>VLOOKUP(B48,Select!A:H,8,FALSE)</f>
        <v>4</v>
      </c>
      <c r="D48" s="5" t="s">
        <v>21</v>
      </c>
      <c r="E48" s="6">
        <f>VLOOKUP(D48,Select!B:H,7,FALSE)</f>
        <v>2</v>
      </c>
      <c r="F48" s="5" t="s">
        <v>23</v>
      </c>
      <c r="G48" s="6">
        <f>VLOOKUP(F48,Select!C:H,6,FALSE)</f>
        <v>1</v>
      </c>
      <c r="H48" s="5" t="s">
        <v>319</v>
      </c>
      <c r="I48" s="5">
        <v>6</v>
      </c>
      <c r="J48" s="5"/>
      <c r="K48" s="5"/>
      <c r="L48" s="5"/>
      <c r="M48" s="5" t="b">
        <v>0</v>
      </c>
      <c r="N48" s="5" t="s">
        <v>477</v>
      </c>
      <c r="O48" s="15">
        <f>VLOOKUP(N48,Select!D:H,5,FALSE)</f>
        <v>0</v>
      </c>
    </row>
    <row r="49" spans="1:15">
      <c r="A49" s="14">
        <v>2408</v>
      </c>
      <c r="B49" s="1" t="s">
        <v>26</v>
      </c>
      <c r="C49" s="6">
        <f>VLOOKUP(B49,Select!A:H,8,FALSE)</f>
        <v>4</v>
      </c>
      <c r="D49" s="1" t="s">
        <v>30</v>
      </c>
      <c r="E49" s="6">
        <f>VLOOKUP(D49,Select!B:H,7,FALSE)</f>
        <v>3</v>
      </c>
      <c r="F49" s="1" t="s">
        <v>3</v>
      </c>
      <c r="G49" s="6">
        <f>VLOOKUP(F49,Select!C:H,6,FALSE)</f>
        <v>0</v>
      </c>
      <c r="H49" s="1" t="s">
        <v>320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5">
        <f>VLOOKUP(N49,Select!D:H,5,FALSE)</f>
        <v>0</v>
      </c>
    </row>
    <row r="50" spans="1:15">
      <c r="A50" s="13">
        <v>2409</v>
      </c>
      <c r="B50" s="5" t="s">
        <v>26</v>
      </c>
      <c r="C50" s="6">
        <f>VLOOKUP(B50,Select!A:H,8,FALSE)</f>
        <v>4</v>
      </c>
      <c r="D50" s="5" t="s">
        <v>30</v>
      </c>
      <c r="E50" s="6">
        <f>VLOOKUP(D50,Select!B:H,7,FALSE)</f>
        <v>3</v>
      </c>
      <c r="F50" s="5" t="s">
        <v>3</v>
      </c>
      <c r="G50" s="6">
        <f>VLOOKUP(F50,Select!C:H,6,FALSE)</f>
        <v>0</v>
      </c>
      <c r="H50" s="5" t="s">
        <v>321</v>
      </c>
      <c r="I50" s="5">
        <v>8</v>
      </c>
      <c r="J50" s="5">
        <v>4</v>
      </c>
      <c r="K50" s="5">
        <v>4</v>
      </c>
      <c r="L50" s="5"/>
      <c r="M50" s="5" t="b">
        <v>0</v>
      </c>
      <c r="N50" s="5" t="s">
        <v>477</v>
      </c>
      <c r="O50" s="15">
        <f>VLOOKUP(N50,Select!D:H,5,FALSE)</f>
        <v>0</v>
      </c>
    </row>
    <row r="51" spans="1:15">
      <c r="A51" s="14">
        <v>2410</v>
      </c>
      <c r="B51" s="1" t="s">
        <v>26</v>
      </c>
      <c r="C51" s="6">
        <f>VLOOKUP(B51,Select!A:H,8,FALSE)</f>
        <v>4</v>
      </c>
      <c r="D51" s="1" t="s">
        <v>10</v>
      </c>
      <c r="E51" s="6">
        <f>VLOOKUP(D51,Select!B:H,7,FALSE)</f>
        <v>0</v>
      </c>
      <c r="F51" s="1" t="s">
        <v>3</v>
      </c>
      <c r="G51" s="6">
        <f>VLOOKUP(F51,Select!C:H,6,FALSE)</f>
        <v>0</v>
      </c>
      <c r="H51" s="1" t="s">
        <v>322</v>
      </c>
      <c r="I51" s="1">
        <v>2</v>
      </c>
      <c r="J51" s="1">
        <v>2</v>
      </c>
      <c r="K51" s="1">
        <v>2</v>
      </c>
      <c r="L51" s="1"/>
      <c r="M51" s="1" t="b">
        <v>1</v>
      </c>
      <c r="N51" s="1" t="s">
        <v>471</v>
      </c>
      <c r="O51" s="15">
        <f>VLOOKUP(N51,Select!D:H,5,FALSE)</f>
        <v>12</v>
      </c>
    </row>
    <row r="52" spans="1:15">
      <c r="A52" s="13">
        <v>2411</v>
      </c>
      <c r="B52" s="5" t="s">
        <v>26</v>
      </c>
      <c r="C52" s="6">
        <f>VLOOKUP(B52,Select!A:H,8,FALSE)</f>
        <v>4</v>
      </c>
      <c r="D52" s="5" t="s">
        <v>30</v>
      </c>
      <c r="E52" s="6">
        <f>VLOOKUP(D52,Select!B:H,7,FALSE)</f>
        <v>3</v>
      </c>
      <c r="F52" s="5" t="s">
        <v>23</v>
      </c>
      <c r="G52" s="6">
        <f>VLOOKUP(F52,Select!C:H,6,FALSE)</f>
        <v>1</v>
      </c>
      <c r="H52" s="5" t="s">
        <v>323</v>
      </c>
      <c r="I52" s="5">
        <v>3</v>
      </c>
      <c r="J52" s="5"/>
      <c r="K52" s="5"/>
      <c r="L52" s="5"/>
      <c r="M52" s="5" t="b">
        <v>1</v>
      </c>
      <c r="N52" s="5" t="s">
        <v>477</v>
      </c>
      <c r="O52" s="15">
        <f>VLOOKUP(N52,Select!D:H,5,FALSE)</f>
        <v>0</v>
      </c>
    </row>
    <row r="53" spans="1:15">
      <c r="A53" s="14">
        <v>2500</v>
      </c>
      <c r="B53" s="1" t="s">
        <v>27</v>
      </c>
      <c r="C53" s="6">
        <f>VLOOKUP(B53,Select!A:H,8,FALSE)</f>
        <v>5</v>
      </c>
      <c r="D53" s="1" t="s">
        <v>11</v>
      </c>
      <c r="E53" s="6">
        <f>VLOOKUP(D53,Select!B:H,7,FALSE)</f>
        <v>0</v>
      </c>
      <c r="F53" s="1" t="s">
        <v>3</v>
      </c>
      <c r="G53" s="6">
        <f>VLOOKUP(F53,Select!C:H,6,FALSE)</f>
        <v>0</v>
      </c>
      <c r="H53" s="1" t="s">
        <v>324</v>
      </c>
      <c r="I53" s="1">
        <v>1</v>
      </c>
      <c r="J53" s="1">
        <v>1</v>
      </c>
      <c r="K53" s="1">
        <v>1</v>
      </c>
      <c r="L53" s="1"/>
      <c r="M53" s="1" t="b">
        <v>0</v>
      </c>
      <c r="N53" s="1" t="s">
        <v>477</v>
      </c>
      <c r="O53" s="15">
        <f>VLOOKUP(N53,Select!D:H,5,FALSE)</f>
        <v>0</v>
      </c>
    </row>
    <row r="54" spans="1:15">
      <c r="A54" s="13">
        <v>2501</v>
      </c>
      <c r="B54" s="5" t="s">
        <v>27</v>
      </c>
      <c r="C54" s="6">
        <f>VLOOKUP(B54,Select!A:H,8,FALSE)</f>
        <v>5</v>
      </c>
      <c r="D54" s="5" t="s">
        <v>10</v>
      </c>
      <c r="E54" s="6">
        <f>VLOOKUP(D54,Select!B:H,7,FALSE)</f>
        <v>0</v>
      </c>
      <c r="F54" s="5" t="s">
        <v>3</v>
      </c>
      <c r="G54" s="6">
        <f>VLOOKUP(F54,Select!C:H,6,FALSE)</f>
        <v>0</v>
      </c>
      <c r="H54" s="5" t="s">
        <v>325</v>
      </c>
      <c r="I54" s="5">
        <v>5</v>
      </c>
      <c r="J54" s="5">
        <v>3</v>
      </c>
      <c r="K54" s="5">
        <v>4</v>
      </c>
      <c r="L54" s="5"/>
      <c r="M54" s="5" t="b">
        <v>0</v>
      </c>
      <c r="N54" s="5" t="s">
        <v>477</v>
      </c>
      <c r="O54" s="15">
        <f>VLOOKUP(N54,Select!D:H,5,FALSE)</f>
        <v>0</v>
      </c>
    </row>
    <row r="55" spans="1:15">
      <c r="A55" s="14">
        <v>2502</v>
      </c>
      <c r="B55" s="1" t="s">
        <v>27</v>
      </c>
      <c r="C55" s="6">
        <f>VLOOKUP(B55,Select!A:H,8,FALSE)</f>
        <v>5</v>
      </c>
      <c r="D55" s="1" t="s">
        <v>10</v>
      </c>
      <c r="E55" s="6">
        <f>VLOOKUP(D55,Select!B:H,7,FALSE)</f>
        <v>0</v>
      </c>
      <c r="F55" s="1" t="s">
        <v>23</v>
      </c>
      <c r="G55" s="6">
        <f>VLOOKUP(F55,Select!C:H,6,FALSE)</f>
        <v>1</v>
      </c>
      <c r="H55" s="1" t="s">
        <v>326</v>
      </c>
      <c r="I55" s="1">
        <v>2</v>
      </c>
      <c r="J55" s="1"/>
      <c r="K55" s="1"/>
      <c r="L55" s="1"/>
      <c r="M55" s="1" t="b">
        <v>0</v>
      </c>
      <c r="N55" s="1" t="s">
        <v>477</v>
      </c>
      <c r="O55" s="15">
        <f>VLOOKUP(N55,Select!D:H,5,FALSE)</f>
        <v>0</v>
      </c>
    </row>
    <row r="56" spans="1:15">
      <c r="A56" s="13">
        <v>2503</v>
      </c>
      <c r="B56" s="5" t="s">
        <v>27</v>
      </c>
      <c r="C56" s="6">
        <f>VLOOKUP(B56,Select!A:H,8,FALSE)</f>
        <v>5</v>
      </c>
      <c r="D56" s="5" t="s">
        <v>36</v>
      </c>
      <c r="E56" s="6">
        <f>VLOOKUP(D56,Select!B:H,7,FALSE)</f>
        <v>1</v>
      </c>
      <c r="F56" s="5" t="s">
        <v>3</v>
      </c>
      <c r="G56" s="6">
        <f>VLOOKUP(F56,Select!C:H,6,FALSE)</f>
        <v>0</v>
      </c>
      <c r="H56" s="5" t="s">
        <v>327</v>
      </c>
      <c r="I56" s="5">
        <v>3</v>
      </c>
      <c r="J56" s="5">
        <v>2</v>
      </c>
      <c r="K56" s="5">
        <v>4</v>
      </c>
      <c r="L56" s="5"/>
      <c r="M56" s="5" t="b">
        <v>0</v>
      </c>
      <c r="N56" s="5" t="s">
        <v>477</v>
      </c>
      <c r="O56" s="15">
        <f>VLOOKUP(N56,Select!D:H,5,FALSE)</f>
        <v>0</v>
      </c>
    </row>
    <row r="57" spans="1:15">
      <c r="A57" s="14">
        <v>2504</v>
      </c>
      <c r="B57" s="1" t="s">
        <v>27</v>
      </c>
      <c r="C57" s="6">
        <f>VLOOKUP(B57,Select!A:H,8,FALSE)</f>
        <v>5</v>
      </c>
      <c r="D57" s="1" t="s">
        <v>36</v>
      </c>
      <c r="E57" s="6">
        <f>VLOOKUP(D57,Select!B:H,7,FALSE)</f>
        <v>1</v>
      </c>
      <c r="F57" s="1" t="s">
        <v>3</v>
      </c>
      <c r="G57" s="6">
        <f>VLOOKUP(F57,Select!C:H,6,FALSE)</f>
        <v>0</v>
      </c>
      <c r="H57" s="1" t="s">
        <v>328</v>
      </c>
      <c r="I57" s="1">
        <v>6</v>
      </c>
      <c r="J57" s="1">
        <v>3</v>
      </c>
      <c r="K57" s="1">
        <v>3</v>
      </c>
      <c r="L57" s="1"/>
      <c r="M57" s="1" t="b">
        <v>0</v>
      </c>
      <c r="N57" s="1" t="s">
        <v>477</v>
      </c>
      <c r="O57" s="15">
        <f>VLOOKUP(N57,Select!D:H,5,FALSE)</f>
        <v>0</v>
      </c>
    </row>
    <row r="58" spans="1:15">
      <c r="A58" s="13">
        <v>2505</v>
      </c>
      <c r="B58" s="5" t="s">
        <v>27</v>
      </c>
      <c r="C58" s="6">
        <f>VLOOKUP(B58,Select!A:H,8,FALSE)</f>
        <v>5</v>
      </c>
      <c r="D58" s="5" t="s">
        <v>36</v>
      </c>
      <c r="E58" s="6">
        <f>VLOOKUP(D58,Select!B:H,7,FALSE)</f>
        <v>1</v>
      </c>
      <c r="F58" s="5" t="s">
        <v>23</v>
      </c>
      <c r="G58" s="6">
        <f>VLOOKUP(F58,Select!C:H,6,FALSE)</f>
        <v>1</v>
      </c>
      <c r="H58" s="5" t="s">
        <v>329</v>
      </c>
      <c r="I58" s="5">
        <v>2</v>
      </c>
      <c r="J58" s="5"/>
      <c r="K58" s="5"/>
      <c r="L58" s="5"/>
      <c r="M58" s="5" t="b">
        <v>0</v>
      </c>
      <c r="N58" s="5" t="s">
        <v>477</v>
      </c>
      <c r="O58" s="15">
        <f>VLOOKUP(N58,Select!D:H,5,FALSE)</f>
        <v>0</v>
      </c>
    </row>
    <row r="59" spans="1:15">
      <c r="A59" s="14">
        <v>2506</v>
      </c>
      <c r="B59" s="1" t="s">
        <v>27</v>
      </c>
      <c r="C59" s="6">
        <f>VLOOKUP(B59,Select!A:H,8,FALSE)</f>
        <v>5</v>
      </c>
      <c r="D59" s="1" t="s">
        <v>21</v>
      </c>
      <c r="E59" s="6">
        <f>VLOOKUP(D59,Select!B:H,7,FALSE)</f>
        <v>2</v>
      </c>
      <c r="F59" s="1" t="s">
        <v>3</v>
      </c>
      <c r="G59" s="6">
        <f>VLOOKUP(F59,Select!C:H,6,FALSE)</f>
        <v>0</v>
      </c>
      <c r="H59" s="1" t="s">
        <v>330</v>
      </c>
      <c r="I59" s="1">
        <v>3</v>
      </c>
      <c r="J59" s="1">
        <v>3</v>
      </c>
      <c r="K59" s="1">
        <v>2</v>
      </c>
      <c r="L59" s="1"/>
      <c r="M59" s="1" t="b">
        <v>0</v>
      </c>
      <c r="N59" s="1" t="s">
        <v>477</v>
      </c>
      <c r="O59" s="15">
        <f>VLOOKUP(N59,Select!D:H,5,FALSE)</f>
        <v>0</v>
      </c>
    </row>
    <row r="60" spans="1:15">
      <c r="A60" s="13">
        <v>2507</v>
      </c>
      <c r="B60" s="5" t="s">
        <v>27</v>
      </c>
      <c r="C60" s="6">
        <f>VLOOKUP(B60,Select!A:H,8,FALSE)</f>
        <v>5</v>
      </c>
      <c r="D60" s="5" t="s">
        <v>21</v>
      </c>
      <c r="E60" s="6">
        <f>VLOOKUP(D60,Select!B:H,7,FALSE)</f>
        <v>2</v>
      </c>
      <c r="F60" s="5" t="s">
        <v>3</v>
      </c>
      <c r="G60" s="6">
        <f>VLOOKUP(F60,Select!C:H,6,FALSE)</f>
        <v>0</v>
      </c>
      <c r="H60" s="5" t="s">
        <v>331</v>
      </c>
      <c r="I60" s="5">
        <v>4</v>
      </c>
      <c r="J60" s="5">
        <v>1</v>
      </c>
      <c r="K60" s="5">
        <v>3</v>
      </c>
      <c r="L60" s="5"/>
      <c r="M60" s="5" t="b">
        <v>0</v>
      </c>
      <c r="N60" s="5" t="s">
        <v>477</v>
      </c>
      <c r="O60" s="15">
        <f>VLOOKUP(N60,Select!D:H,5,FALSE)</f>
        <v>0</v>
      </c>
    </row>
    <row r="61" spans="1:15">
      <c r="A61" s="14">
        <v>2508</v>
      </c>
      <c r="B61" s="1" t="s">
        <v>27</v>
      </c>
      <c r="C61" s="6">
        <f>VLOOKUP(B61,Select!A:H,8,FALSE)</f>
        <v>5</v>
      </c>
      <c r="D61" s="1" t="s">
        <v>30</v>
      </c>
      <c r="E61" s="6">
        <f>VLOOKUP(D61,Select!B:H,7,FALSE)</f>
        <v>3</v>
      </c>
      <c r="F61" s="1" t="s">
        <v>3</v>
      </c>
      <c r="G61" s="6">
        <f>VLOOKUP(F61,Select!C:H,6,FALSE)</f>
        <v>0</v>
      </c>
      <c r="H61" s="1" t="s">
        <v>332</v>
      </c>
      <c r="I61" s="1">
        <v>5</v>
      </c>
      <c r="J61" s="1">
        <v>4</v>
      </c>
      <c r="K61" s="1">
        <v>4</v>
      </c>
      <c r="L61" s="1"/>
      <c r="M61" s="1" t="b">
        <v>0</v>
      </c>
      <c r="N61" s="1" t="s">
        <v>477</v>
      </c>
      <c r="O61" s="15">
        <f>VLOOKUP(N61,Select!D:H,5,FALSE)</f>
        <v>0</v>
      </c>
    </row>
    <row r="62" spans="1:15">
      <c r="A62" s="13">
        <v>2509</v>
      </c>
      <c r="B62" s="5" t="s">
        <v>27</v>
      </c>
      <c r="C62" s="6">
        <f>VLOOKUP(B62,Select!A:H,8,FALSE)</f>
        <v>5</v>
      </c>
      <c r="D62" s="5" t="s">
        <v>30</v>
      </c>
      <c r="E62" s="6">
        <f>VLOOKUP(D62,Select!B:H,7,FALSE)</f>
        <v>3</v>
      </c>
      <c r="F62" s="5" t="s">
        <v>3</v>
      </c>
      <c r="G62" s="6">
        <f>VLOOKUP(F62,Select!C:H,6,FALSE)</f>
        <v>0</v>
      </c>
      <c r="H62" s="5" t="s">
        <v>333</v>
      </c>
      <c r="I62" s="5">
        <v>9</v>
      </c>
      <c r="J62" s="5">
        <v>5</v>
      </c>
      <c r="K62" s="5">
        <v>9</v>
      </c>
      <c r="L62" s="5"/>
      <c r="M62" s="5" t="b">
        <v>0</v>
      </c>
      <c r="N62" s="5" t="s">
        <v>477</v>
      </c>
      <c r="O62" s="15">
        <f>VLOOKUP(N62,Select!D:H,5,FALSE)</f>
        <v>0</v>
      </c>
    </row>
    <row r="63" spans="1:15">
      <c r="A63" s="14">
        <v>2510</v>
      </c>
      <c r="B63" s="1" t="s">
        <v>27</v>
      </c>
      <c r="C63" s="6">
        <f>VLOOKUP(B63,Select!A:H,8,FALSE)</f>
        <v>5</v>
      </c>
      <c r="D63" s="1" t="s">
        <v>10</v>
      </c>
      <c r="E63" s="6">
        <f>VLOOKUP(D63,Select!B:H,7,FALSE)</f>
        <v>0</v>
      </c>
      <c r="F63" s="1" t="s">
        <v>3</v>
      </c>
      <c r="G63" s="6">
        <f>VLOOKUP(F63,Select!C:H,6,FALSE)</f>
        <v>0</v>
      </c>
      <c r="H63" s="1" t="s">
        <v>334</v>
      </c>
      <c r="I63" s="1">
        <v>3</v>
      </c>
      <c r="J63" s="1">
        <v>2</v>
      </c>
      <c r="K63" s="1">
        <v>2</v>
      </c>
      <c r="L63" s="1"/>
      <c r="M63" s="1" t="b">
        <v>1</v>
      </c>
      <c r="N63" s="1" t="s">
        <v>464</v>
      </c>
      <c r="O63" s="15">
        <f>VLOOKUP(N63,Select!D:H,5,FALSE)</f>
        <v>5</v>
      </c>
    </row>
    <row r="64" spans="1:15">
      <c r="A64" s="13">
        <v>2511</v>
      </c>
      <c r="B64" s="5" t="s">
        <v>27</v>
      </c>
      <c r="C64" s="6">
        <f>VLOOKUP(B64,Select!A:H,8,FALSE)</f>
        <v>5</v>
      </c>
      <c r="D64" s="5" t="s">
        <v>30</v>
      </c>
      <c r="E64" s="6">
        <f>VLOOKUP(D64,Select!B:H,7,FALSE)</f>
        <v>3</v>
      </c>
      <c r="F64" s="5" t="s">
        <v>3</v>
      </c>
      <c r="G64" s="6">
        <f>VLOOKUP(F64,Select!C:H,6,FALSE)</f>
        <v>0</v>
      </c>
      <c r="H64" s="5" t="s">
        <v>335</v>
      </c>
      <c r="I64" s="5">
        <v>2</v>
      </c>
      <c r="J64" s="5">
        <v>2</v>
      </c>
      <c r="K64" s="5">
        <v>3</v>
      </c>
      <c r="L64" s="5"/>
      <c r="M64" s="5" t="b">
        <v>1</v>
      </c>
      <c r="N64" s="5" t="s">
        <v>477</v>
      </c>
      <c r="O64" s="15">
        <f>VLOOKUP(N64,Select!D:H,5,FALSE)</f>
        <v>0</v>
      </c>
    </row>
    <row r="65" spans="1:15">
      <c r="A65" s="14">
        <v>2600</v>
      </c>
      <c r="B65" s="1" t="s">
        <v>29</v>
      </c>
      <c r="C65" s="6">
        <f>VLOOKUP(B65,Select!A:H,8,FALSE)</f>
        <v>6</v>
      </c>
      <c r="D65" s="1" t="s">
        <v>10</v>
      </c>
      <c r="E65" s="6">
        <f>VLOOKUP(D65,Select!B:H,7,FALSE)</f>
        <v>0</v>
      </c>
      <c r="F65" s="1" t="s">
        <v>3</v>
      </c>
      <c r="G65" s="6">
        <f>VLOOKUP(F65,Select!C:H,6,FALSE)</f>
        <v>0</v>
      </c>
      <c r="H65" s="1" t="s">
        <v>336</v>
      </c>
      <c r="I65" s="1">
        <v>2</v>
      </c>
      <c r="J65" s="1">
        <v>2</v>
      </c>
      <c r="K65" s="1">
        <v>2</v>
      </c>
      <c r="L65" s="1"/>
      <c r="M65" s="1" t="b">
        <v>0</v>
      </c>
      <c r="N65" s="1" t="s">
        <v>477</v>
      </c>
      <c r="O65" s="15">
        <f>VLOOKUP(N65,Select!D:H,5,FALSE)</f>
        <v>0</v>
      </c>
    </row>
    <row r="66" spans="1:15">
      <c r="A66" s="13">
        <v>2601</v>
      </c>
      <c r="B66" s="5" t="s">
        <v>29</v>
      </c>
      <c r="C66" s="6">
        <f>VLOOKUP(B66,Select!A:H,8,FALSE)</f>
        <v>6</v>
      </c>
      <c r="D66" s="5" t="s">
        <v>10</v>
      </c>
      <c r="E66" s="6">
        <f>VLOOKUP(D66,Select!B:H,7,FALSE)</f>
        <v>0</v>
      </c>
      <c r="F66" s="5" t="s">
        <v>3</v>
      </c>
      <c r="G66" s="6">
        <f>VLOOKUP(F66,Select!C:H,6,FALSE)</f>
        <v>0</v>
      </c>
      <c r="H66" s="5" t="s">
        <v>337</v>
      </c>
      <c r="I66" s="5">
        <v>3</v>
      </c>
      <c r="J66" s="5">
        <v>2</v>
      </c>
      <c r="K66" s="5">
        <v>4</v>
      </c>
      <c r="L66" s="5"/>
      <c r="M66" s="5" t="b">
        <v>0</v>
      </c>
      <c r="N66" s="5" t="s">
        <v>477</v>
      </c>
      <c r="O66" s="15">
        <f>VLOOKUP(N66,Select!D:H,5,FALSE)</f>
        <v>0</v>
      </c>
    </row>
    <row r="67" spans="1:15">
      <c r="A67" s="14">
        <v>2602</v>
      </c>
      <c r="B67" s="1" t="s">
        <v>29</v>
      </c>
      <c r="C67" s="6">
        <f>VLOOKUP(B67,Select!A:H,8,FALSE)</f>
        <v>6</v>
      </c>
      <c r="D67" s="1" t="s">
        <v>10</v>
      </c>
      <c r="E67" s="6">
        <f>VLOOKUP(D67,Select!B:H,7,FALSE)</f>
        <v>0</v>
      </c>
      <c r="F67" s="1" t="s">
        <v>34</v>
      </c>
      <c r="G67" s="6">
        <f>VLOOKUP(F67,Select!C:H,6,FALSE)</f>
        <v>2</v>
      </c>
      <c r="H67" s="1" t="s">
        <v>338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5">
        <f>VLOOKUP(N67,Select!D:H,5,FALSE)</f>
        <v>0</v>
      </c>
    </row>
    <row r="68" spans="1:15">
      <c r="A68" s="13">
        <v>2603</v>
      </c>
      <c r="B68" s="5" t="s">
        <v>29</v>
      </c>
      <c r="C68" s="6">
        <f>VLOOKUP(B68,Select!A:H,8,FALSE)</f>
        <v>6</v>
      </c>
      <c r="D68" s="5" t="s">
        <v>36</v>
      </c>
      <c r="E68" s="6">
        <f>VLOOKUP(D68,Select!B:H,7,FALSE)</f>
        <v>1</v>
      </c>
      <c r="F68" s="5" t="s">
        <v>3</v>
      </c>
      <c r="G68" s="6">
        <f>VLOOKUP(F68,Select!C:H,6,FALSE)</f>
        <v>0</v>
      </c>
      <c r="H68" s="5" t="s">
        <v>339</v>
      </c>
      <c r="I68" s="5">
        <v>3</v>
      </c>
      <c r="J68" s="5">
        <v>2</v>
      </c>
      <c r="K68" s="5">
        <v>2</v>
      </c>
      <c r="L68" s="5"/>
      <c r="M68" s="5" t="b">
        <v>0</v>
      </c>
      <c r="N68" s="5" t="s">
        <v>477</v>
      </c>
      <c r="O68" s="15">
        <f>VLOOKUP(N68,Select!D:H,5,FALSE)</f>
        <v>0</v>
      </c>
    </row>
    <row r="69" spans="1:15">
      <c r="A69" s="14">
        <v>2604</v>
      </c>
      <c r="B69" s="1" t="s">
        <v>29</v>
      </c>
      <c r="C69" s="6">
        <f>VLOOKUP(B69,Select!A:H,8,FALSE)</f>
        <v>6</v>
      </c>
      <c r="D69" s="1" t="s">
        <v>36</v>
      </c>
      <c r="E69" s="6">
        <f>VLOOKUP(D69,Select!B:H,7,FALSE)</f>
        <v>1</v>
      </c>
      <c r="F69" s="1" t="s">
        <v>3</v>
      </c>
      <c r="G69" s="6">
        <f>VLOOKUP(F69,Select!C:H,6,FALSE)</f>
        <v>0</v>
      </c>
      <c r="H69" s="1" t="s">
        <v>340</v>
      </c>
      <c r="I69" s="1">
        <v>5</v>
      </c>
      <c r="J69" s="1">
        <v>4</v>
      </c>
      <c r="K69" s="1">
        <v>4</v>
      </c>
      <c r="L69" s="1"/>
      <c r="M69" s="1" t="b">
        <v>0</v>
      </c>
      <c r="N69" s="1" t="s">
        <v>477</v>
      </c>
      <c r="O69" s="15">
        <f>VLOOKUP(N69,Select!D:H,5,FALSE)</f>
        <v>0</v>
      </c>
    </row>
    <row r="70" spans="1:15">
      <c r="A70" s="13">
        <v>2605</v>
      </c>
      <c r="B70" s="5" t="s">
        <v>29</v>
      </c>
      <c r="C70" s="6">
        <f>VLOOKUP(B70,Select!A:H,8,FALSE)</f>
        <v>6</v>
      </c>
      <c r="D70" s="5" t="s">
        <v>36</v>
      </c>
      <c r="E70" s="6">
        <f>VLOOKUP(D70,Select!B:H,7,FALSE)</f>
        <v>1</v>
      </c>
      <c r="F70" s="5" t="s">
        <v>23</v>
      </c>
      <c r="G70" s="6">
        <f>VLOOKUP(F70,Select!C:H,6,FALSE)</f>
        <v>1</v>
      </c>
      <c r="H70" s="5" t="s">
        <v>341</v>
      </c>
      <c r="I70" s="5">
        <v>1</v>
      </c>
      <c r="J70" s="5"/>
      <c r="K70" s="5"/>
      <c r="L70" s="5"/>
      <c r="M70" s="5" t="b">
        <v>0</v>
      </c>
      <c r="N70" s="5" t="s">
        <v>477</v>
      </c>
      <c r="O70" s="15">
        <f>VLOOKUP(N70,Select!D:H,5,FALSE)</f>
        <v>0</v>
      </c>
    </row>
    <row r="71" spans="1:15">
      <c r="A71" s="14">
        <v>2606</v>
      </c>
      <c r="B71" s="1" t="s">
        <v>29</v>
      </c>
      <c r="C71" s="6">
        <f>VLOOKUP(B71,Select!A:H,8,FALSE)</f>
        <v>6</v>
      </c>
      <c r="D71" s="1" t="s">
        <v>21</v>
      </c>
      <c r="E71" s="6">
        <f>VLOOKUP(D71,Select!B:H,7,FALSE)</f>
        <v>2</v>
      </c>
      <c r="F71" s="1" t="s">
        <v>3</v>
      </c>
      <c r="G71" s="6">
        <f>VLOOKUP(F71,Select!C:H,6,FALSE)</f>
        <v>0</v>
      </c>
      <c r="H71" s="1" t="s">
        <v>342</v>
      </c>
      <c r="I71" s="1">
        <v>5</v>
      </c>
      <c r="J71" s="1">
        <v>3</v>
      </c>
      <c r="K71" s="1">
        <v>4</v>
      </c>
      <c r="L71" s="1"/>
      <c r="M71" s="1" t="b">
        <v>0</v>
      </c>
      <c r="N71" s="1" t="s">
        <v>477</v>
      </c>
      <c r="O71" s="15">
        <f>VLOOKUP(N71,Select!D:H,5,FALSE)</f>
        <v>0</v>
      </c>
    </row>
    <row r="72" spans="1:15">
      <c r="A72" s="13">
        <v>2607</v>
      </c>
      <c r="B72" s="5" t="s">
        <v>29</v>
      </c>
      <c r="C72" s="6">
        <f>VLOOKUP(B72,Select!A:H,8,FALSE)</f>
        <v>6</v>
      </c>
      <c r="D72" s="5" t="s">
        <v>21</v>
      </c>
      <c r="E72" s="6">
        <f>VLOOKUP(D72,Select!B:H,7,FALSE)</f>
        <v>2</v>
      </c>
      <c r="F72" s="5" t="s">
        <v>23</v>
      </c>
      <c r="G72" s="6">
        <f>VLOOKUP(F72,Select!C:H,6,FALSE)</f>
        <v>1</v>
      </c>
      <c r="H72" s="5" t="s">
        <v>343</v>
      </c>
      <c r="I72" s="5">
        <v>2</v>
      </c>
      <c r="J72" s="5"/>
      <c r="K72" s="5"/>
      <c r="L72" s="5"/>
      <c r="M72" s="5" t="b">
        <v>0</v>
      </c>
      <c r="N72" s="5" t="s">
        <v>477</v>
      </c>
      <c r="O72" s="15">
        <f>VLOOKUP(N72,Select!D:H,5,FALSE)</f>
        <v>0</v>
      </c>
    </row>
    <row r="73" spans="1:15">
      <c r="A73" s="14">
        <v>2608</v>
      </c>
      <c r="B73" s="1" t="s">
        <v>29</v>
      </c>
      <c r="C73" s="6">
        <f>VLOOKUP(B73,Select!A:H,8,FALSE)</f>
        <v>6</v>
      </c>
      <c r="D73" s="1" t="s">
        <v>30</v>
      </c>
      <c r="E73" s="6">
        <f>VLOOKUP(D73,Select!B:H,7,FALSE)</f>
        <v>3</v>
      </c>
      <c r="F73" s="1" t="s">
        <v>3</v>
      </c>
      <c r="G73" s="6">
        <f>VLOOKUP(F73,Select!C:H,6,FALSE)</f>
        <v>0</v>
      </c>
      <c r="H73" s="1" t="s">
        <v>344</v>
      </c>
      <c r="I73" s="1">
        <v>6</v>
      </c>
      <c r="J73" s="1">
        <v>4</v>
      </c>
      <c r="K73" s="1">
        <v>6</v>
      </c>
      <c r="L73" s="1"/>
      <c r="M73" s="1" t="b">
        <v>0</v>
      </c>
      <c r="N73" s="1" t="s">
        <v>477</v>
      </c>
      <c r="O73" s="15">
        <f>VLOOKUP(N73,Select!D:H,5,FALSE)</f>
        <v>0</v>
      </c>
    </row>
    <row r="74" spans="1:15">
      <c r="A74" s="13">
        <v>2609</v>
      </c>
      <c r="B74" s="5" t="s">
        <v>29</v>
      </c>
      <c r="C74" s="6">
        <f>VLOOKUP(B74,Select!A:H,8,FALSE)</f>
        <v>6</v>
      </c>
      <c r="D74" s="5" t="s">
        <v>30</v>
      </c>
      <c r="E74" s="6">
        <f>VLOOKUP(D74,Select!B:H,7,FALSE)</f>
        <v>3</v>
      </c>
      <c r="F74" s="5" t="s">
        <v>3</v>
      </c>
      <c r="G74" s="6">
        <f>VLOOKUP(F74,Select!C:H,6,FALSE)</f>
        <v>0</v>
      </c>
      <c r="H74" s="5" t="s">
        <v>345</v>
      </c>
      <c r="I74" s="5">
        <v>7</v>
      </c>
      <c r="J74" s="5">
        <v>2</v>
      </c>
      <c r="K74" s="5">
        <v>4</v>
      </c>
      <c r="L74" s="5"/>
      <c r="M74" s="5" t="b">
        <v>0</v>
      </c>
      <c r="N74" s="5" t="s">
        <v>477</v>
      </c>
      <c r="O74" s="15">
        <f>VLOOKUP(N74,Select!D:H,5,FALSE)</f>
        <v>0</v>
      </c>
    </row>
    <row r="75" spans="1:15">
      <c r="A75" s="14">
        <v>2610</v>
      </c>
      <c r="B75" s="1" t="s">
        <v>29</v>
      </c>
      <c r="C75" s="6">
        <f>VLOOKUP(B75,Select!A:H,8,FALSE)</f>
        <v>6</v>
      </c>
      <c r="D75" s="1" t="s">
        <v>30</v>
      </c>
      <c r="E75" s="6">
        <f>VLOOKUP(D75,Select!B:H,7,FALSE)</f>
        <v>3</v>
      </c>
      <c r="F75" s="1" t="s">
        <v>3</v>
      </c>
      <c r="G75" s="6">
        <f>VLOOKUP(F75,Select!C:H,6,FALSE)</f>
        <v>0</v>
      </c>
      <c r="H75" s="1" t="s">
        <v>346</v>
      </c>
      <c r="I75" s="1">
        <v>1</v>
      </c>
      <c r="J75" s="1">
        <v>1</v>
      </c>
      <c r="K75" s="1">
        <v>2</v>
      </c>
      <c r="L75" s="1"/>
      <c r="M75" s="1" t="b">
        <v>1</v>
      </c>
      <c r="N75" s="1" t="s">
        <v>477</v>
      </c>
      <c r="O75" s="15">
        <f>VLOOKUP(N75,Select!D:H,5,FALSE)</f>
        <v>0</v>
      </c>
    </row>
    <row r="76" spans="1:15">
      <c r="A76" s="13">
        <v>2700</v>
      </c>
      <c r="B76" s="5" t="s">
        <v>28</v>
      </c>
      <c r="C76" s="6">
        <f>VLOOKUP(B76,Select!A:H,8,FALSE)</f>
        <v>7</v>
      </c>
      <c r="D76" s="5" t="s">
        <v>10</v>
      </c>
      <c r="E76" s="6">
        <f>VLOOKUP(D76,Select!B:H,7,FALSE)</f>
        <v>0</v>
      </c>
      <c r="F76" s="5" t="s">
        <v>3</v>
      </c>
      <c r="G76" s="6">
        <f>VLOOKUP(F76,Select!C:H,6,FALSE)</f>
        <v>0</v>
      </c>
      <c r="H76" s="5" t="s">
        <v>347</v>
      </c>
      <c r="I76" s="5">
        <v>1</v>
      </c>
      <c r="J76" s="5">
        <v>1</v>
      </c>
      <c r="K76" s="5">
        <v>1</v>
      </c>
      <c r="L76" s="5"/>
      <c r="M76" s="5" t="b">
        <v>0</v>
      </c>
      <c r="N76" s="5" t="s">
        <v>477</v>
      </c>
      <c r="O76" s="15">
        <f>VLOOKUP(N76,Select!D:H,5,FALSE)</f>
        <v>0</v>
      </c>
    </row>
    <row r="77" spans="1:15">
      <c r="A77" s="14">
        <v>2701</v>
      </c>
      <c r="B77" s="1" t="s">
        <v>28</v>
      </c>
      <c r="C77" s="6">
        <f>VLOOKUP(B77,Select!A:H,8,FALSE)</f>
        <v>7</v>
      </c>
      <c r="D77" s="1" t="s">
        <v>10</v>
      </c>
      <c r="E77" s="6">
        <f>VLOOKUP(D77,Select!B:H,7,FALSE)</f>
        <v>0</v>
      </c>
      <c r="F77" s="1" t="s">
        <v>3</v>
      </c>
      <c r="G77" s="6">
        <f>VLOOKUP(F77,Select!C:H,6,FALSE)</f>
        <v>0</v>
      </c>
      <c r="H77" s="1" t="s">
        <v>348</v>
      </c>
      <c r="I77" s="1">
        <v>6</v>
      </c>
      <c r="J77" s="1">
        <v>4</v>
      </c>
      <c r="K77" s="1">
        <v>5</v>
      </c>
      <c r="L77" s="1"/>
      <c r="M77" s="1" t="b">
        <v>0</v>
      </c>
      <c r="N77" s="1" t="s">
        <v>477</v>
      </c>
      <c r="O77" s="15">
        <f>VLOOKUP(N77,Select!D:H,5,FALSE)</f>
        <v>0</v>
      </c>
    </row>
    <row r="78" spans="1:15">
      <c r="A78" s="13">
        <v>2702</v>
      </c>
      <c r="B78" s="5" t="s">
        <v>28</v>
      </c>
      <c r="C78" s="6">
        <f>VLOOKUP(B78,Select!A:H,8,FALSE)</f>
        <v>7</v>
      </c>
      <c r="D78" s="5" t="s">
        <v>10</v>
      </c>
      <c r="E78" s="6">
        <f>VLOOKUP(D78,Select!B:H,7,FALSE)</f>
        <v>0</v>
      </c>
      <c r="F78" s="5" t="s">
        <v>34</v>
      </c>
      <c r="G78" s="6">
        <f>VLOOKUP(F78,Select!C:H,6,FALSE)</f>
        <v>2</v>
      </c>
      <c r="H78" s="5" t="s">
        <v>349</v>
      </c>
      <c r="I78" s="5">
        <v>2</v>
      </c>
      <c r="J78" s="5"/>
      <c r="K78" s="5"/>
      <c r="L78" s="5"/>
      <c r="M78" s="5" t="b">
        <v>0</v>
      </c>
      <c r="N78" s="5" t="s">
        <v>477</v>
      </c>
      <c r="O78" s="15">
        <f>VLOOKUP(N78,Select!D:H,5,FALSE)</f>
        <v>0</v>
      </c>
    </row>
    <row r="79" spans="1:15">
      <c r="A79" s="14">
        <v>2703</v>
      </c>
      <c r="B79" s="1" t="s">
        <v>28</v>
      </c>
      <c r="C79" s="6">
        <f>VLOOKUP(B79,Select!A:H,8,FALSE)</f>
        <v>7</v>
      </c>
      <c r="D79" s="1" t="s">
        <v>36</v>
      </c>
      <c r="E79" s="6">
        <f>VLOOKUP(D79,Select!B:H,7,FALSE)</f>
        <v>1</v>
      </c>
      <c r="F79" s="1" t="s">
        <v>3</v>
      </c>
      <c r="G79" s="6">
        <f>VLOOKUP(F79,Select!C:H,6,FALSE)</f>
        <v>0</v>
      </c>
      <c r="H79" s="1" t="s">
        <v>350</v>
      </c>
      <c r="I79" s="1">
        <v>2</v>
      </c>
      <c r="J79" s="1">
        <v>1</v>
      </c>
      <c r="K79" s="1">
        <v>1</v>
      </c>
      <c r="L79" s="1"/>
      <c r="M79" s="1" t="b">
        <v>0</v>
      </c>
      <c r="N79" s="1" t="s">
        <v>477</v>
      </c>
      <c r="O79" s="15">
        <f>VLOOKUP(N79,Select!D:H,5,FALSE)</f>
        <v>0</v>
      </c>
    </row>
    <row r="80" spans="1:15">
      <c r="A80" s="13">
        <v>2704</v>
      </c>
      <c r="B80" s="5" t="s">
        <v>28</v>
      </c>
      <c r="C80" s="6">
        <f>VLOOKUP(B80,Select!A:H,8,FALSE)</f>
        <v>7</v>
      </c>
      <c r="D80" s="5" t="s">
        <v>36</v>
      </c>
      <c r="E80" s="6">
        <f>VLOOKUP(D80,Select!B:H,7,FALSE)</f>
        <v>1</v>
      </c>
      <c r="F80" s="5" t="s">
        <v>3</v>
      </c>
      <c r="G80" s="6">
        <f>VLOOKUP(F80,Select!C:H,6,FALSE)</f>
        <v>0</v>
      </c>
      <c r="H80" s="5" t="s">
        <v>351</v>
      </c>
      <c r="I80" s="5">
        <v>5</v>
      </c>
      <c r="J80" s="5">
        <v>3</v>
      </c>
      <c r="K80" s="5">
        <v>3</v>
      </c>
      <c r="L80" s="5"/>
      <c r="M80" s="5" t="b">
        <v>0</v>
      </c>
      <c r="N80" s="5" t="s">
        <v>477</v>
      </c>
      <c r="O80" s="15">
        <f>VLOOKUP(N80,Select!D:H,5,FALSE)</f>
        <v>0</v>
      </c>
    </row>
    <row r="81" spans="1:15">
      <c r="A81" s="14">
        <v>2705</v>
      </c>
      <c r="B81" s="1" t="s">
        <v>28</v>
      </c>
      <c r="C81" s="6">
        <f>VLOOKUP(B81,Select!A:H,8,FALSE)</f>
        <v>7</v>
      </c>
      <c r="D81" s="1" t="s">
        <v>36</v>
      </c>
      <c r="E81" s="6">
        <f>VLOOKUP(D81,Select!B:H,7,FALSE)</f>
        <v>1</v>
      </c>
      <c r="F81" s="1" t="s">
        <v>23</v>
      </c>
      <c r="G81" s="6">
        <f>VLOOKUP(F81,Select!C:H,6,FALSE)</f>
        <v>1</v>
      </c>
      <c r="H81" s="1" t="s">
        <v>352</v>
      </c>
      <c r="I81" s="1">
        <v>1</v>
      </c>
      <c r="J81" s="1"/>
      <c r="K81" s="1"/>
      <c r="L81" s="1"/>
      <c r="M81" s="1" t="b">
        <v>0</v>
      </c>
      <c r="N81" s="1" t="s">
        <v>477</v>
      </c>
      <c r="O81" s="15">
        <f>VLOOKUP(N81,Select!D:H,5,FALSE)</f>
        <v>0</v>
      </c>
    </row>
    <row r="82" spans="1:15">
      <c r="A82" s="13">
        <v>2706</v>
      </c>
      <c r="B82" s="5" t="s">
        <v>28</v>
      </c>
      <c r="C82" s="6">
        <f>VLOOKUP(B82,Select!A:H,8,FALSE)</f>
        <v>7</v>
      </c>
      <c r="D82" s="5" t="s">
        <v>21</v>
      </c>
      <c r="E82" s="6">
        <f>VLOOKUP(D82,Select!B:H,7,FALSE)</f>
        <v>2</v>
      </c>
      <c r="F82" s="5" t="s">
        <v>3</v>
      </c>
      <c r="G82" s="6">
        <f>VLOOKUP(F82,Select!C:H,6,FALSE)</f>
        <v>0</v>
      </c>
      <c r="H82" s="5" t="s">
        <v>353</v>
      </c>
      <c r="I82" s="5">
        <v>2</v>
      </c>
      <c r="J82" s="5">
        <v>2</v>
      </c>
      <c r="K82" s="5">
        <v>2</v>
      </c>
      <c r="L82" s="5"/>
      <c r="M82" s="5" t="b">
        <v>0</v>
      </c>
      <c r="N82" s="5" t="s">
        <v>477</v>
      </c>
      <c r="O82" s="15">
        <f>VLOOKUP(N82,Select!D:H,5,FALSE)</f>
        <v>0</v>
      </c>
    </row>
    <row r="83" spans="1:15">
      <c r="A83" s="14">
        <v>2707</v>
      </c>
      <c r="B83" s="1" t="s">
        <v>28</v>
      </c>
      <c r="C83" s="6">
        <f>VLOOKUP(B83,Select!A:H,8,FALSE)</f>
        <v>7</v>
      </c>
      <c r="D83" s="1" t="s">
        <v>21</v>
      </c>
      <c r="E83" s="6">
        <f>VLOOKUP(D83,Select!B:H,7,FALSE)</f>
        <v>2</v>
      </c>
      <c r="F83" s="1" t="s">
        <v>23</v>
      </c>
      <c r="G83" s="6">
        <f>VLOOKUP(F83,Select!C:H,6,FALSE)</f>
        <v>1</v>
      </c>
      <c r="H83" s="1" t="s">
        <v>354</v>
      </c>
      <c r="I83" s="1">
        <v>6</v>
      </c>
      <c r="J83" s="1"/>
      <c r="K83" s="1"/>
      <c r="L83" s="1"/>
      <c r="M83" s="1" t="b">
        <v>0</v>
      </c>
      <c r="N83" s="1" t="s">
        <v>477</v>
      </c>
      <c r="O83" s="15">
        <f>VLOOKUP(N83,Select!D:H,5,FALSE)</f>
        <v>0</v>
      </c>
    </row>
    <row r="84" spans="1:15">
      <c r="A84" s="13">
        <v>2708</v>
      </c>
      <c r="B84" s="5" t="s">
        <v>28</v>
      </c>
      <c r="C84" s="6">
        <f>VLOOKUP(B84,Select!A:H,8,FALSE)</f>
        <v>7</v>
      </c>
      <c r="D84" s="5" t="s">
        <v>30</v>
      </c>
      <c r="E84" s="6">
        <f>VLOOKUP(D84,Select!B:H,7,FALSE)</f>
        <v>3</v>
      </c>
      <c r="F84" s="5" t="s">
        <v>3</v>
      </c>
      <c r="G84" s="6">
        <f>VLOOKUP(F84,Select!C:H,6,FALSE)</f>
        <v>0</v>
      </c>
      <c r="H84" s="5" t="s">
        <v>355</v>
      </c>
      <c r="I84" s="5">
        <v>5</v>
      </c>
      <c r="J84" s="5">
        <v>3</v>
      </c>
      <c r="K84" s="5">
        <v>3</v>
      </c>
      <c r="L84" s="5"/>
      <c r="M84" s="5" t="b">
        <v>0</v>
      </c>
      <c r="N84" s="5" t="s">
        <v>477</v>
      </c>
      <c r="O84" s="15">
        <f>VLOOKUP(N84,Select!D:H,5,FALSE)</f>
        <v>0</v>
      </c>
    </row>
    <row r="85" spans="1:15">
      <c r="A85" s="14">
        <v>2709</v>
      </c>
      <c r="B85" s="1" t="s">
        <v>28</v>
      </c>
      <c r="C85" s="6">
        <f>VLOOKUP(B85,Select!A:H,8,FALSE)</f>
        <v>7</v>
      </c>
      <c r="D85" s="1" t="s">
        <v>30</v>
      </c>
      <c r="E85" s="6">
        <f>VLOOKUP(D85,Select!B:H,7,FALSE)</f>
        <v>3</v>
      </c>
      <c r="F85" s="1" t="s">
        <v>3</v>
      </c>
      <c r="G85" s="6">
        <f>VLOOKUP(F85,Select!C:H,6,FALSE)</f>
        <v>0</v>
      </c>
      <c r="H85" s="1" t="s">
        <v>356</v>
      </c>
      <c r="I85" s="1">
        <v>6</v>
      </c>
      <c r="J85" s="1">
        <v>5</v>
      </c>
      <c r="K85" s="1">
        <v>4</v>
      </c>
      <c r="L85" s="1"/>
      <c r="M85" s="1" t="b">
        <v>0</v>
      </c>
      <c r="N85" s="1" t="s">
        <v>477</v>
      </c>
      <c r="O85" s="15">
        <f>VLOOKUP(N85,Select!D:H,5,FALSE)</f>
        <v>0</v>
      </c>
    </row>
    <row r="86" spans="1:15">
      <c r="A86" s="13">
        <v>2710</v>
      </c>
      <c r="B86" s="5" t="s">
        <v>28</v>
      </c>
      <c r="C86" s="6">
        <f>VLOOKUP(B86,Select!A:H,8,FALSE)</f>
        <v>7</v>
      </c>
      <c r="D86" s="5" t="s">
        <v>36</v>
      </c>
      <c r="E86" s="6">
        <f>VLOOKUP(D86,Select!B:H,7,FALSE)</f>
        <v>1</v>
      </c>
      <c r="F86" s="5" t="s">
        <v>3</v>
      </c>
      <c r="G86" s="6">
        <f>VLOOKUP(F86,Select!C:H,6,FALSE)</f>
        <v>0</v>
      </c>
      <c r="H86" s="5" t="s">
        <v>357</v>
      </c>
      <c r="I86" s="5">
        <v>1</v>
      </c>
      <c r="J86" s="5">
        <v>1</v>
      </c>
      <c r="K86" s="5">
        <v>1</v>
      </c>
      <c r="L86" s="5"/>
      <c r="M86" s="5" t="b">
        <v>1</v>
      </c>
      <c r="N86" s="5" t="s">
        <v>470</v>
      </c>
      <c r="O86" s="15">
        <f>VLOOKUP(N86,Select!D:H,5,FALSE)</f>
        <v>11</v>
      </c>
    </row>
    <row r="87" spans="1:15">
      <c r="A87" s="21">
        <v>2711</v>
      </c>
      <c r="B87" s="8" t="s">
        <v>28</v>
      </c>
      <c r="C87" s="9">
        <f>VLOOKUP(B87,Select!A:H,8,FALSE)</f>
        <v>7</v>
      </c>
      <c r="D87" s="8" t="s">
        <v>30</v>
      </c>
      <c r="E87" s="9">
        <f>VLOOKUP(D87,Select!B:H,7,FALSE)</f>
        <v>3</v>
      </c>
      <c r="F87" s="8" t="s">
        <v>3</v>
      </c>
      <c r="G87" s="9">
        <f>VLOOKUP(F87,Select!C:H,6,FALSE)</f>
        <v>0</v>
      </c>
      <c r="H87" s="8" t="s">
        <v>358</v>
      </c>
      <c r="I87" s="8">
        <v>3</v>
      </c>
      <c r="J87" s="8">
        <v>6</v>
      </c>
      <c r="K87" s="8">
        <v>1</v>
      </c>
      <c r="L87" s="8"/>
      <c r="M87" s="8" t="b">
        <v>1</v>
      </c>
      <c r="N87" s="8" t="s">
        <v>470</v>
      </c>
      <c r="O87" s="20">
        <f>VLOOKUP(N87,Select!D:H,5,FALSE)</f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8C08A33C-3022-47F4-8A59-1F2BF8BB1F7A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B546687-A11F-4EC1-9BA9-0FA9F044663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12E6CDE-7BA7-4D06-BDA2-F2C54FAD5DB1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DFAE04B-9FC8-4CC5-A983-F72BDBD6A9B6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31DE024-603A-440A-8280-E343C38C65B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6DDC1E3C-0561-4D99-9AED-C4CE2A0A49D4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D89E088E-3764-40EF-8D87-551593B6598F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F30E2A76-1831-4547-84F8-F8710DA7451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B1:B87</xm:sqref>
        </x14:conditionalFormatting>
        <x14:conditionalFormatting xmlns:xm="http://schemas.microsoft.com/office/excel/2006/main">
          <x14:cfRule type="containsText" priority="1" operator="containsText" id="{553D3FB0-76F3-452D-B218-7EAB7004E57E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98247B74-9301-427C-8387-74FCC007A90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B2:B87</xm:sqref>
        </x14:conditionalFormatting>
        <x14:conditionalFormatting xmlns:xm="http://schemas.microsoft.com/office/excel/2006/main">
          <x14:cfRule type="containsText" priority="6" operator="containsText" id="{BB0423E6-62AE-40E3-9BBB-82A50D5F64F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03B3F5A-3438-43F3-B167-C23CDD61532D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83464C42-84FC-417E-8F69-4D318F0F97B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E489C0B-8483-494D-87B9-B2CE440F73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D1:D87</xm:sqref>
        </x14:conditionalFormatting>
        <x14:conditionalFormatting xmlns:xm="http://schemas.microsoft.com/office/excel/2006/main">
          <x14:cfRule type="containsText" priority="3" operator="containsText" id="{485C14AA-0AF2-4212-B42B-AC648B95F42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25C8B3D-AAF6-41DD-BBA6-38F769FA35A5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77011C5D-891A-44A2-829E-ADB19A6ADFF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F1:F87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3848FDA-DB1A-4686-81A4-1FD3F7F951FF}">
          <x14:formula1>
            <xm:f>Select!$D:$D</xm:f>
          </x14:formula1>
          <xm:sqref>N2:N87</xm:sqref>
        </x14:dataValidation>
        <x14:dataValidation type="list" allowBlank="1" showInputMessage="1" showErrorMessage="1" xr:uid="{A4F6B869-69D0-42C8-8C64-837AD9284B0A}">
          <x14:formula1>
            <xm:f>Select!$C:$C</xm:f>
          </x14:formula1>
          <xm:sqref>F2:F87</xm:sqref>
        </x14:dataValidation>
        <x14:dataValidation type="list" allowBlank="1" showInputMessage="1" showErrorMessage="1" xr:uid="{C2D4197A-FEEF-4D93-95BB-DD53890A27D9}">
          <x14:formula1>
            <xm:f>Select!$B:$B</xm:f>
          </x14:formula1>
          <xm:sqref>D2:D87</xm:sqref>
        </x14:dataValidation>
        <x14:dataValidation type="list" allowBlank="1" showInputMessage="1" showErrorMessage="1" xr:uid="{7C04DE86-92A8-4445-B26B-CE83A3956666}">
          <x14:formula1>
            <xm:f>Select!$A:$A</xm:f>
          </x14:formula1>
          <xm:sqref>B2:B87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F55B2-4D17-41A6-B0A4-28F5DD0BC8AA}">
  <dimension ref="A1:O94"/>
  <sheetViews>
    <sheetView workbookViewId="0">
      <selection activeCell="R5" sqref="R5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6" t="s">
        <v>292</v>
      </c>
      <c r="B1" s="17" t="s">
        <v>293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7</v>
      </c>
      <c r="I1" s="17" t="s">
        <v>8</v>
      </c>
      <c r="J1" s="17" t="s">
        <v>9</v>
      </c>
      <c r="K1" s="17" t="s">
        <v>299</v>
      </c>
      <c r="L1" s="17" t="s">
        <v>1493</v>
      </c>
      <c r="M1" s="17" t="s">
        <v>301</v>
      </c>
      <c r="N1" s="17" t="s">
        <v>475</v>
      </c>
      <c r="O1" s="18" t="s">
        <v>476</v>
      </c>
    </row>
    <row r="2" spans="1:15">
      <c r="A2" s="13">
        <v>3000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359</v>
      </c>
      <c r="I2" s="5">
        <v>4</v>
      </c>
      <c r="J2" s="5">
        <v>2</v>
      </c>
      <c r="K2" s="5">
        <v>2</v>
      </c>
      <c r="L2" s="5"/>
      <c r="M2" s="5" t="b">
        <v>0</v>
      </c>
      <c r="N2" s="5" t="s">
        <v>477</v>
      </c>
      <c r="O2" s="15">
        <f>VLOOKUP(N2,Select!D:H,5,FALSE)</f>
        <v>0</v>
      </c>
    </row>
    <row r="3" spans="1:15">
      <c r="A3" s="14">
        <v>3001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23</v>
      </c>
      <c r="G3" s="6">
        <f>VLOOKUP(F3,Select!C:H,6,FALSE)</f>
        <v>1</v>
      </c>
      <c r="H3" s="1" t="s">
        <v>360</v>
      </c>
      <c r="I3" s="1">
        <v>4</v>
      </c>
      <c r="J3" s="1"/>
      <c r="K3" s="1"/>
      <c r="L3" s="1"/>
      <c r="M3" s="1" t="b">
        <v>0</v>
      </c>
      <c r="N3" s="1" t="s">
        <v>477</v>
      </c>
      <c r="O3" s="15">
        <f>VLOOKUP(N3,Select!D:H,5,FALSE)</f>
        <v>0</v>
      </c>
    </row>
    <row r="4" spans="1:15">
      <c r="A4" s="13">
        <v>3002</v>
      </c>
      <c r="B4" s="5" t="s">
        <v>1</v>
      </c>
      <c r="C4" s="6">
        <f>VLOOKUP(B4,Select!A:H,8,FALSE)</f>
        <v>0</v>
      </c>
      <c r="D4" s="5" t="s">
        <v>36</v>
      </c>
      <c r="E4" s="6">
        <f>VLOOKUP(D4,Select!B:H,7,FALSE)</f>
        <v>1</v>
      </c>
      <c r="F4" s="5" t="s">
        <v>3</v>
      </c>
      <c r="G4" s="6">
        <f>VLOOKUP(F4,Select!C:H,6,FALSE)</f>
        <v>0</v>
      </c>
      <c r="H4" s="5" t="s">
        <v>361</v>
      </c>
      <c r="I4" s="5">
        <v>2</v>
      </c>
      <c r="J4" s="5">
        <v>1</v>
      </c>
      <c r="K4" s="5">
        <v>3</v>
      </c>
      <c r="L4" s="5"/>
      <c r="M4" s="5" t="b">
        <v>0</v>
      </c>
      <c r="N4" s="5" t="s">
        <v>477</v>
      </c>
      <c r="O4" s="15">
        <f>VLOOKUP(N4,Select!D:H,5,FALSE)</f>
        <v>0</v>
      </c>
    </row>
    <row r="5" spans="1:15">
      <c r="A5" s="14">
        <v>3003</v>
      </c>
      <c r="B5" s="1" t="s">
        <v>1</v>
      </c>
      <c r="C5" s="6">
        <f>VLOOKUP(B5,Select!A:H,8,FALSE)</f>
        <v>0</v>
      </c>
      <c r="D5" s="1" t="s">
        <v>21</v>
      </c>
      <c r="E5" s="6">
        <f>VLOOKUP(D5,Select!B:H,7,FALSE)</f>
        <v>2</v>
      </c>
      <c r="F5" s="1" t="s">
        <v>3</v>
      </c>
      <c r="G5" s="6">
        <f>VLOOKUP(F5,Select!C:H,6,FALSE)</f>
        <v>0</v>
      </c>
      <c r="H5" s="1" t="s">
        <v>362</v>
      </c>
      <c r="I5" s="1">
        <v>3</v>
      </c>
      <c r="J5" s="1">
        <v>3</v>
      </c>
      <c r="K5" s="1">
        <v>1</v>
      </c>
      <c r="L5" s="1"/>
      <c r="M5" s="1" t="b">
        <v>0</v>
      </c>
      <c r="N5" s="1" t="s">
        <v>477</v>
      </c>
      <c r="O5" s="15">
        <f>VLOOKUP(N5,Select!D:H,5,FALSE)</f>
        <v>0</v>
      </c>
    </row>
    <row r="6" spans="1:15">
      <c r="A6" s="13">
        <v>3004</v>
      </c>
      <c r="B6" s="5" t="s">
        <v>1</v>
      </c>
      <c r="C6" s="6">
        <f>VLOOKUP(B6,Select!A:H,8,FALSE)</f>
        <v>0</v>
      </c>
      <c r="D6" s="5" t="s">
        <v>21</v>
      </c>
      <c r="E6" s="6">
        <f>VLOOKUP(D6,Select!B:H,7,FALSE)</f>
        <v>2</v>
      </c>
      <c r="F6" s="5" t="s">
        <v>34</v>
      </c>
      <c r="G6" s="6">
        <f>VLOOKUP(F6,Select!C:H,6,FALSE)</f>
        <v>2</v>
      </c>
      <c r="H6" s="5" t="s">
        <v>363</v>
      </c>
      <c r="I6" s="5">
        <v>3</v>
      </c>
      <c r="J6" s="5"/>
      <c r="K6" s="5"/>
      <c r="L6" s="5"/>
      <c r="M6" s="5" t="b">
        <v>0</v>
      </c>
      <c r="N6" s="5" t="s">
        <v>477</v>
      </c>
      <c r="O6" s="15">
        <f>VLOOKUP(N6,Select!D:H,5,FALSE)</f>
        <v>0</v>
      </c>
    </row>
    <row r="7" spans="1:15">
      <c r="A7" s="14">
        <v>3005</v>
      </c>
      <c r="B7" s="1" t="s">
        <v>1</v>
      </c>
      <c r="C7" s="6">
        <f>VLOOKUP(B7,Select!A:H,8,FALSE)</f>
        <v>0</v>
      </c>
      <c r="D7" s="1" t="s">
        <v>30</v>
      </c>
      <c r="E7" s="6">
        <f>VLOOKUP(D7,Select!B:H,7,FALSE)</f>
        <v>3</v>
      </c>
      <c r="F7" s="1" t="s">
        <v>3</v>
      </c>
      <c r="G7" s="6">
        <f>VLOOKUP(F7,Select!C:H,6,FALSE)</f>
        <v>0</v>
      </c>
      <c r="H7" s="1" t="s">
        <v>364</v>
      </c>
      <c r="I7" s="1">
        <v>3</v>
      </c>
      <c r="J7" s="1">
        <v>0</v>
      </c>
      <c r="K7" s="1">
        <v>3</v>
      </c>
      <c r="L7" s="1"/>
      <c r="M7" s="1" t="b">
        <v>0</v>
      </c>
      <c r="N7" s="1" t="s">
        <v>477</v>
      </c>
      <c r="O7" s="15">
        <f>VLOOKUP(N7,Select!D:H,5,FALSE)</f>
        <v>0</v>
      </c>
    </row>
    <row r="8" spans="1:15">
      <c r="A8" s="13">
        <v>3006</v>
      </c>
      <c r="B8" s="5" t="s">
        <v>1</v>
      </c>
      <c r="C8" s="6">
        <f>VLOOKUP(B8,Select!A:H,8,FALSE)</f>
        <v>0</v>
      </c>
      <c r="D8" s="5" t="s">
        <v>30</v>
      </c>
      <c r="E8" s="6">
        <f>VLOOKUP(D8,Select!B:H,7,FALSE)</f>
        <v>3</v>
      </c>
      <c r="F8" s="5" t="s">
        <v>3</v>
      </c>
      <c r="G8" s="6">
        <f>VLOOKUP(F8,Select!C:H,6,FALSE)</f>
        <v>0</v>
      </c>
      <c r="H8" s="5" t="s">
        <v>365</v>
      </c>
      <c r="I8" s="5">
        <v>4</v>
      </c>
      <c r="J8" s="5">
        <v>3</v>
      </c>
      <c r="K8" s="5">
        <v>3</v>
      </c>
      <c r="L8" s="5"/>
      <c r="M8" s="5" t="b">
        <v>0</v>
      </c>
      <c r="N8" s="5" t="s">
        <v>477</v>
      </c>
      <c r="O8" s="15">
        <f>VLOOKUP(N8,Select!D:H,5,FALSE)</f>
        <v>0</v>
      </c>
    </row>
    <row r="9" spans="1:15">
      <c r="A9" s="14">
        <v>3007</v>
      </c>
      <c r="B9" s="1" t="s">
        <v>1</v>
      </c>
      <c r="C9" s="6">
        <f>VLOOKUP(B9,Select!A:H,8,FALSE)</f>
        <v>0</v>
      </c>
      <c r="D9" s="1" t="s">
        <v>30</v>
      </c>
      <c r="E9" s="6">
        <f>VLOOKUP(D9,Select!B:H,7,FALSE)</f>
        <v>3</v>
      </c>
      <c r="F9" s="1" t="s">
        <v>23</v>
      </c>
      <c r="G9" s="6">
        <f>VLOOKUP(F9,Select!C:H,6,FALSE)</f>
        <v>1</v>
      </c>
      <c r="H9" s="1" t="s">
        <v>366</v>
      </c>
      <c r="I9" s="1">
        <v>1</v>
      </c>
      <c r="J9" s="1"/>
      <c r="K9" s="1"/>
      <c r="L9" s="1"/>
      <c r="M9" s="1" t="b">
        <v>1</v>
      </c>
      <c r="N9" s="1" t="s">
        <v>477</v>
      </c>
      <c r="O9" s="15">
        <f>VLOOKUP(N9,Select!D:H,5,FALSE)</f>
        <v>0</v>
      </c>
    </row>
    <row r="10" spans="1:15">
      <c r="A10" s="13">
        <v>3008</v>
      </c>
      <c r="B10" s="5" t="s">
        <v>1</v>
      </c>
      <c r="C10" s="6">
        <f>VLOOKUP(B10,Select!A:H,8,FALSE)</f>
        <v>0</v>
      </c>
      <c r="D10" s="5" t="s">
        <v>30</v>
      </c>
      <c r="E10" s="6">
        <f>VLOOKUP(D10,Select!B:H,7,FALSE)</f>
        <v>3</v>
      </c>
      <c r="F10" s="5" t="s">
        <v>23</v>
      </c>
      <c r="G10" s="6">
        <f>VLOOKUP(F10,Select!C:H,6,FALSE)</f>
        <v>1</v>
      </c>
      <c r="H10" s="5" t="s">
        <v>367</v>
      </c>
      <c r="I10" s="5">
        <v>5</v>
      </c>
      <c r="J10" s="5"/>
      <c r="K10" s="5"/>
      <c r="L10" s="5"/>
      <c r="M10" s="5" t="b">
        <v>1</v>
      </c>
      <c r="N10" s="5" t="s">
        <v>477</v>
      </c>
      <c r="O10" s="15">
        <f>VLOOKUP(N10,Select!D:H,5,FALSE)</f>
        <v>0</v>
      </c>
    </row>
    <row r="11" spans="1:15">
      <c r="A11" s="14">
        <v>3100</v>
      </c>
      <c r="B11" s="1" t="s">
        <v>24</v>
      </c>
      <c r="C11" s="6">
        <f>VLOOKUP(B11,Select!A:H,8,FALSE)</f>
        <v>1</v>
      </c>
      <c r="D11" s="1" t="s">
        <v>10</v>
      </c>
      <c r="E11" s="6">
        <f>VLOOKUP(D11,Select!B:H,7,FALSE)</f>
        <v>0</v>
      </c>
      <c r="F11" s="1" t="s">
        <v>3</v>
      </c>
      <c r="G11" s="6">
        <f>VLOOKUP(F11,Select!C:H,6,FALSE)</f>
        <v>0</v>
      </c>
      <c r="H11" s="1" t="s">
        <v>368</v>
      </c>
      <c r="I11" s="1">
        <v>2</v>
      </c>
      <c r="J11" s="1">
        <v>2</v>
      </c>
      <c r="K11" s="1">
        <v>2</v>
      </c>
      <c r="L11" s="1"/>
      <c r="M11" s="1" t="b">
        <v>0</v>
      </c>
      <c r="N11" s="1" t="s">
        <v>477</v>
      </c>
      <c r="O11" s="15">
        <f>VLOOKUP(N11,Select!D:H,5,FALSE)</f>
        <v>0</v>
      </c>
    </row>
    <row r="12" spans="1:15">
      <c r="A12" s="13">
        <v>3101</v>
      </c>
      <c r="B12" s="5" t="s">
        <v>24</v>
      </c>
      <c r="C12" s="6">
        <f>VLOOKUP(B12,Select!A:H,8,FALSE)</f>
        <v>1</v>
      </c>
      <c r="D12" s="5" t="s">
        <v>10</v>
      </c>
      <c r="E12" s="6">
        <f>VLOOKUP(D12,Select!B:H,7,FALSE)</f>
        <v>0</v>
      </c>
      <c r="F12" s="5" t="s">
        <v>3</v>
      </c>
      <c r="G12" s="6">
        <f>VLOOKUP(F12,Select!C:H,6,FALSE)</f>
        <v>0</v>
      </c>
      <c r="H12" s="5" t="s">
        <v>369</v>
      </c>
      <c r="I12" s="5">
        <v>2</v>
      </c>
      <c r="J12" s="5">
        <v>1</v>
      </c>
      <c r="K12" s="5">
        <v>3</v>
      </c>
      <c r="L12" s="5"/>
      <c r="M12" s="5" t="b">
        <v>0</v>
      </c>
      <c r="N12" s="5" t="s">
        <v>477</v>
      </c>
      <c r="O12" s="15">
        <f>VLOOKUP(N12,Select!D:H,5,FALSE)</f>
        <v>0</v>
      </c>
    </row>
    <row r="13" spans="1:15">
      <c r="A13" s="14">
        <v>3102</v>
      </c>
      <c r="B13" s="1" t="s">
        <v>24</v>
      </c>
      <c r="C13" s="6">
        <f>VLOOKUP(B13,Select!A:H,8,FALSE)</f>
        <v>1</v>
      </c>
      <c r="D13" s="1" t="s">
        <v>10</v>
      </c>
      <c r="E13" s="6">
        <f>VLOOKUP(D13,Select!B:H,7,FALSE)</f>
        <v>0</v>
      </c>
      <c r="F13" s="1" t="s">
        <v>23</v>
      </c>
      <c r="G13" s="6">
        <f>VLOOKUP(F13,Select!C:H,6,FALSE)</f>
        <v>1</v>
      </c>
      <c r="H13" s="1" t="s">
        <v>370</v>
      </c>
      <c r="I13" s="1">
        <v>2</v>
      </c>
      <c r="J13" s="1"/>
      <c r="K13" s="1"/>
      <c r="L13" s="1"/>
      <c r="M13" s="1" t="b">
        <v>0</v>
      </c>
      <c r="N13" s="1" t="s">
        <v>477</v>
      </c>
      <c r="O13" s="15">
        <f>VLOOKUP(N13,Select!D:H,5,FALSE)</f>
        <v>0</v>
      </c>
    </row>
    <row r="14" spans="1:15">
      <c r="A14" s="13">
        <v>3103</v>
      </c>
      <c r="B14" s="5" t="s">
        <v>24</v>
      </c>
      <c r="C14" s="6">
        <f>VLOOKUP(B14,Select!A:H,8,FALSE)</f>
        <v>1</v>
      </c>
      <c r="D14" s="5" t="s">
        <v>36</v>
      </c>
      <c r="E14" s="6">
        <f>VLOOKUP(D14,Select!B:H,7,FALSE)</f>
        <v>1</v>
      </c>
      <c r="F14" s="5" t="s">
        <v>3</v>
      </c>
      <c r="G14" s="6">
        <f>VLOOKUP(F14,Select!C:H,6,FALSE)</f>
        <v>0</v>
      </c>
      <c r="H14" s="5" t="s">
        <v>371</v>
      </c>
      <c r="I14" s="5">
        <v>4</v>
      </c>
      <c r="J14" s="5">
        <v>4</v>
      </c>
      <c r="K14" s="5">
        <v>4</v>
      </c>
      <c r="L14" s="5"/>
      <c r="M14" s="5" t="b">
        <v>0</v>
      </c>
      <c r="N14" s="5" t="s">
        <v>477</v>
      </c>
      <c r="O14" s="15">
        <f>VLOOKUP(N14,Select!D:H,5,FALSE)</f>
        <v>0</v>
      </c>
    </row>
    <row r="15" spans="1:15">
      <c r="A15" s="14">
        <v>3104</v>
      </c>
      <c r="B15" s="1" t="s">
        <v>24</v>
      </c>
      <c r="C15" s="6">
        <f>VLOOKUP(B15,Select!A:H,8,FALSE)</f>
        <v>1</v>
      </c>
      <c r="D15" s="1" t="s">
        <v>36</v>
      </c>
      <c r="E15" s="6">
        <f>VLOOKUP(D15,Select!B:H,7,FALSE)</f>
        <v>1</v>
      </c>
      <c r="F15" s="1" t="s">
        <v>3</v>
      </c>
      <c r="G15" s="6">
        <f>VLOOKUP(F15,Select!C:H,6,FALSE)</f>
        <v>0</v>
      </c>
      <c r="H15" s="1" t="s">
        <v>372</v>
      </c>
      <c r="I15" s="1">
        <v>6</v>
      </c>
      <c r="J15" s="1">
        <v>5</v>
      </c>
      <c r="K15" s="1">
        <v>6</v>
      </c>
      <c r="L15" s="1"/>
      <c r="M15" s="1" t="b">
        <v>0</v>
      </c>
      <c r="N15" s="1" t="s">
        <v>477</v>
      </c>
      <c r="O15" s="15">
        <f>VLOOKUP(N15,Select!D:H,5,FALSE)</f>
        <v>0</v>
      </c>
    </row>
    <row r="16" spans="1:15">
      <c r="A16" s="13">
        <v>3105</v>
      </c>
      <c r="B16" s="5" t="s">
        <v>24</v>
      </c>
      <c r="C16" s="6">
        <f>VLOOKUP(B16,Select!A:H,8,FALSE)</f>
        <v>1</v>
      </c>
      <c r="D16" s="5" t="s">
        <v>36</v>
      </c>
      <c r="E16" s="6">
        <f>VLOOKUP(D16,Select!B:H,7,FALSE)</f>
        <v>1</v>
      </c>
      <c r="F16" s="5" t="s">
        <v>34</v>
      </c>
      <c r="G16" s="6">
        <f>VLOOKUP(F16,Select!C:H,6,FALSE)</f>
        <v>2</v>
      </c>
      <c r="H16" s="5" t="s">
        <v>373</v>
      </c>
      <c r="I16" s="5">
        <v>3</v>
      </c>
      <c r="J16" s="5"/>
      <c r="K16" s="5"/>
      <c r="L16" s="5"/>
      <c r="M16" s="5" t="b">
        <v>0</v>
      </c>
      <c r="N16" s="5" t="s">
        <v>477</v>
      </c>
      <c r="O16" s="15">
        <f>VLOOKUP(N16,Select!D:H,5,FALSE)</f>
        <v>0</v>
      </c>
    </row>
    <row r="17" spans="1:15">
      <c r="A17" s="14">
        <v>3106</v>
      </c>
      <c r="B17" s="1" t="s">
        <v>24</v>
      </c>
      <c r="C17" s="6">
        <f>VLOOKUP(B17,Select!A:H,8,FALSE)</f>
        <v>1</v>
      </c>
      <c r="D17" s="1" t="s">
        <v>21</v>
      </c>
      <c r="E17" s="6">
        <f>VLOOKUP(D17,Select!B:H,7,FALSE)</f>
        <v>2</v>
      </c>
      <c r="F17" s="1" t="s">
        <v>3</v>
      </c>
      <c r="G17" s="6">
        <f>VLOOKUP(F17,Select!C:H,6,FALSE)</f>
        <v>0</v>
      </c>
      <c r="H17" s="1" t="s">
        <v>374</v>
      </c>
      <c r="I17" s="1">
        <v>9</v>
      </c>
      <c r="J17" s="1">
        <v>4</v>
      </c>
      <c r="K17" s="1">
        <v>6</v>
      </c>
      <c r="L17" s="1"/>
      <c r="M17" s="1" t="b">
        <v>0</v>
      </c>
      <c r="N17" s="1" t="s">
        <v>477</v>
      </c>
      <c r="O17" s="15">
        <f>VLOOKUP(N17,Select!D:H,5,FALSE)</f>
        <v>0</v>
      </c>
    </row>
    <row r="18" spans="1:15">
      <c r="A18" s="13">
        <v>3107</v>
      </c>
      <c r="B18" s="5" t="s">
        <v>24</v>
      </c>
      <c r="C18" s="6">
        <f>VLOOKUP(B18,Select!A:H,8,FALSE)</f>
        <v>1</v>
      </c>
      <c r="D18" s="5" t="s">
        <v>21</v>
      </c>
      <c r="E18" s="6">
        <f>VLOOKUP(D18,Select!B:H,7,FALSE)</f>
        <v>2</v>
      </c>
      <c r="F18" s="5" t="s">
        <v>23</v>
      </c>
      <c r="G18" s="6">
        <f>VLOOKUP(F18,Select!C:H,6,FALSE)</f>
        <v>1</v>
      </c>
      <c r="H18" s="5" t="s">
        <v>375</v>
      </c>
      <c r="I18" s="5">
        <v>1</v>
      </c>
      <c r="J18" s="5"/>
      <c r="K18" s="5"/>
      <c r="L18" s="5"/>
      <c r="M18" s="5" t="b">
        <v>0</v>
      </c>
      <c r="N18" s="5" t="s">
        <v>477</v>
      </c>
      <c r="O18" s="15">
        <f>VLOOKUP(N18,Select!D:H,5,FALSE)</f>
        <v>0</v>
      </c>
    </row>
    <row r="19" spans="1:15">
      <c r="A19" s="14">
        <v>3108</v>
      </c>
      <c r="B19" s="1" t="s">
        <v>24</v>
      </c>
      <c r="C19" s="6">
        <f>VLOOKUP(B19,Select!A:H,8,FALSE)</f>
        <v>1</v>
      </c>
      <c r="D19" s="1" t="s">
        <v>30</v>
      </c>
      <c r="E19" s="6">
        <f>VLOOKUP(D19,Select!B:H,7,FALSE)</f>
        <v>3</v>
      </c>
      <c r="F19" s="1" t="s">
        <v>3</v>
      </c>
      <c r="G19" s="6">
        <f>VLOOKUP(F19,Select!C:H,6,FALSE)</f>
        <v>0</v>
      </c>
      <c r="H19" s="1" t="s">
        <v>376</v>
      </c>
      <c r="I19" s="1">
        <v>4</v>
      </c>
      <c r="J19" s="1">
        <v>1</v>
      </c>
      <c r="K19" s="1">
        <v>3</v>
      </c>
      <c r="L19" s="1"/>
      <c r="M19" s="1" t="b">
        <v>0</v>
      </c>
      <c r="N19" s="1" t="s">
        <v>477</v>
      </c>
      <c r="O19" s="15">
        <f>VLOOKUP(N19,Select!D:H,5,FALSE)</f>
        <v>0</v>
      </c>
    </row>
    <row r="20" spans="1:15">
      <c r="A20" s="13">
        <v>3109</v>
      </c>
      <c r="B20" s="5" t="s">
        <v>24</v>
      </c>
      <c r="C20" s="6">
        <f>VLOOKUP(B20,Select!A:H,8,FALSE)</f>
        <v>1</v>
      </c>
      <c r="D20" s="5" t="s">
        <v>30</v>
      </c>
      <c r="E20" s="6">
        <f>VLOOKUP(D20,Select!B:H,7,FALSE)</f>
        <v>3</v>
      </c>
      <c r="F20" s="5" t="s">
        <v>3</v>
      </c>
      <c r="G20" s="6">
        <f>VLOOKUP(F20,Select!C:H,6,FALSE)</f>
        <v>0</v>
      </c>
      <c r="H20" s="5" t="s">
        <v>377</v>
      </c>
      <c r="I20" s="5">
        <v>8</v>
      </c>
      <c r="J20" s="5">
        <v>6</v>
      </c>
      <c r="K20" s="5">
        <v>6</v>
      </c>
      <c r="L20" s="5"/>
      <c r="M20" s="5" t="b">
        <v>0</v>
      </c>
      <c r="N20" s="5" t="s">
        <v>477</v>
      </c>
      <c r="O20" s="15">
        <f>VLOOKUP(N20,Select!D:H,5,FALSE)</f>
        <v>0</v>
      </c>
    </row>
    <row r="21" spans="1:15">
      <c r="A21" s="14">
        <v>3110</v>
      </c>
      <c r="B21" s="1" t="s">
        <v>24</v>
      </c>
      <c r="C21" s="6">
        <f>VLOOKUP(B21,Select!A:H,8,FALSE)</f>
        <v>1</v>
      </c>
      <c r="D21" s="1" t="s">
        <v>30</v>
      </c>
      <c r="E21" s="6">
        <f>VLOOKUP(D21,Select!B:H,7,FALSE)</f>
        <v>3</v>
      </c>
      <c r="F21" s="1" t="s">
        <v>23</v>
      </c>
      <c r="G21" s="6">
        <f>VLOOKUP(F21,Select!C:H,6,FALSE)</f>
        <v>1</v>
      </c>
      <c r="H21" s="1" t="s">
        <v>378</v>
      </c>
      <c r="I21" s="1">
        <v>6</v>
      </c>
      <c r="J21" s="1"/>
      <c r="K21" s="1"/>
      <c r="L21" s="1"/>
      <c r="M21" s="1" t="b">
        <v>1</v>
      </c>
      <c r="N21" s="1" t="s">
        <v>477</v>
      </c>
      <c r="O21" s="15">
        <f>VLOOKUP(N21,Select!D:H,5,FALSE)</f>
        <v>0</v>
      </c>
    </row>
    <row r="22" spans="1:15">
      <c r="A22" s="13">
        <v>3200</v>
      </c>
      <c r="B22" s="5" t="s">
        <v>25</v>
      </c>
      <c r="C22" s="6">
        <f>VLOOKUP(B22,Select!A:H,8,FALSE)</f>
        <v>2</v>
      </c>
      <c r="D22" s="5" t="s">
        <v>10</v>
      </c>
      <c r="E22" s="6">
        <f>VLOOKUP(D22,Select!B:H,7,FALSE)</f>
        <v>0</v>
      </c>
      <c r="F22" s="5" t="s">
        <v>3</v>
      </c>
      <c r="G22" s="6">
        <f>VLOOKUP(F22,Select!C:H,6,FALSE)</f>
        <v>0</v>
      </c>
      <c r="H22" s="5" t="s">
        <v>379</v>
      </c>
      <c r="I22" s="5">
        <v>2</v>
      </c>
      <c r="J22" s="5">
        <v>2</v>
      </c>
      <c r="K22" s="5">
        <v>1</v>
      </c>
      <c r="L22" s="5"/>
      <c r="M22" s="5" t="b">
        <v>0</v>
      </c>
      <c r="N22" s="5" t="s">
        <v>477</v>
      </c>
      <c r="O22" s="15">
        <f>VLOOKUP(N22,Select!D:H,5,FALSE)</f>
        <v>0</v>
      </c>
    </row>
    <row r="23" spans="1:15">
      <c r="A23" s="14">
        <v>3201</v>
      </c>
      <c r="B23" s="1" t="s">
        <v>25</v>
      </c>
      <c r="C23" s="6">
        <f>VLOOKUP(B23,Select!A:H,8,FALSE)</f>
        <v>2</v>
      </c>
      <c r="D23" s="1" t="s">
        <v>10</v>
      </c>
      <c r="E23" s="6">
        <f>VLOOKUP(D23,Select!B:H,7,FALSE)</f>
        <v>0</v>
      </c>
      <c r="F23" s="1" t="s">
        <v>3</v>
      </c>
      <c r="G23" s="6">
        <f>VLOOKUP(F23,Select!C:H,6,FALSE)</f>
        <v>0</v>
      </c>
      <c r="H23" s="1" t="s">
        <v>380</v>
      </c>
      <c r="I23" s="1">
        <v>6</v>
      </c>
      <c r="J23" s="1">
        <v>5</v>
      </c>
      <c r="K23" s="1">
        <v>5</v>
      </c>
      <c r="L23" s="1"/>
      <c r="M23" s="1" t="b">
        <v>0</v>
      </c>
      <c r="N23" s="1" t="s">
        <v>477</v>
      </c>
      <c r="O23" s="15">
        <f>VLOOKUP(N23,Select!D:H,5,FALSE)</f>
        <v>0</v>
      </c>
    </row>
    <row r="24" spans="1:15">
      <c r="A24" s="13">
        <v>3202</v>
      </c>
      <c r="B24" s="5" t="s">
        <v>25</v>
      </c>
      <c r="C24" s="6">
        <f>VLOOKUP(B24,Select!A:H,8,FALSE)</f>
        <v>2</v>
      </c>
      <c r="D24" s="5" t="s">
        <v>10</v>
      </c>
      <c r="E24" s="6">
        <f>VLOOKUP(D24,Select!B:H,7,FALSE)</f>
        <v>0</v>
      </c>
      <c r="F24" s="5" t="s">
        <v>23</v>
      </c>
      <c r="G24" s="6">
        <f>VLOOKUP(F24,Select!C:H,6,FALSE)</f>
        <v>1</v>
      </c>
      <c r="H24" s="5" t="s">
        <v>381</v>
      </c>
      <c r="I24" s="5">
        <v>2</v>
      </c>
      <c r="J24" s="5"/>
      <c r="K24" s="5"/>
      <c r="L24" s="5"/>
      <c r="M24" s="5" t="b">
        <v>0</v>
      </c>
      <c r="N24" s="5" t="s">
        <v>477</v>
      </c>
      <c r="O24" s="15">
        <f>VLOOKUP(N24,Select!D:H,5,FALSE)</f>
        <v>0</v>
      </c>
    </row>
    <row r="25" spans="1:15">
      <c r="A25" s="14">
        <v>3203</v>
      </c>
      <c r="B25" s="1" t="s">
        <v>25</v>
      </c>
      <c r="C25" s="6">
        <f>VLOOKUP(B25,Select!A:H,8,FALSE)</f>
        <v>2</v>
      </c>
      <c r="D25" s="1" t="s">
        <v>36</v>
      </c>
      <c r="E25" s="6">
        <f>VLOOKUP(D25,Select!B:H,7,FALSE)</f>
        <v>1</v>
      </c>
      <c r="F25" s="1" t="s">
        <v>3</v>
      </c>
      <c r="G25" s="6">
        <f>VLOOKUP(F25,Select!C:H,6,FALSE)</f>
        <v>0</v>
      </c>
      <c r="H25" s="1" t="s">
        <v>382</v>
      </c>
      <c r="I25" s="1">
        <v>2</v>
      </c>
      <c r="J25" s="1">
        <v>1</v>
      </c>
      <c r="K25" s="1">
        <v>2</v>
      </c>
      <c r="L25" s="1"/>
      <c r="M25" s="1" t="b">
        <v>0</v>
      </c>
      <c r="N25" s="1" t="s">
        <v>477</v>
      </c>
      <c r="O25" s="15">
        <f>VLOOKUP(N25,Select!D:H,5,FALSE)</f>
        <v>0</v>
      </c>
    </row>
    <row r="26" spans="1:15">
      <c r="A26" s="13">
        <v>3204</v>
      </c>
      <c r="B26" s="5" t="s">
        <v>25</v>
      </c>
      <c r="C26" s="6">
        <f>VLOOKUP(B26,Select!A:H,8,FALSE)</f>
        <v>2</v>
      </c>
      <c r="D26" s="5" t="s">
        <v>36</v>
      </c>
      <c r="E26" s="6">
        <f>VLOOKUP(D26,Select!B:H,7,FALSE)</f>
        <v>1</v>
      </c>
      <c r="F26" s="5" t="s">
        <v>3</v>
      </c>
      <c r="G26" s="6">
        <f>VLOOKUP(F26,Select!C:H,6,FALSE)</f>
        <v>0</v>
      </c>
      <c r="H26" s="5" t="s">
        <v>383</v>
      </c>
      <c r="I26" s="5">
        <v>5</v>
      </c>
      <c r="J26" s="5">
        <v>3</v>
      </c>
      <c r="K26" s="5">
        <v>3</v>
      </c>
      <c r="L26" s="5"/>
      <c r="M26" s="5" t="b">
        <v>0</v>
      </c>
      <c r="N26" s="5" t="s">
        <v>477</v>
      </c>
      <c r="O26" s="15">
        <f>VLOOKUP(N26,Select!D:H,5,FALSE)</f>
        <v>0</v>
      </c>
    </row>
    <row r="27" spans="1:15">
      <c r="A27" s="14">
        <v>3205</v>
      </c>
      <c r="B27" s="1" t="s">
        <v>25</v>
      </c>
      <c r="C27" s="6">
        <f>VLOOKUP(B27,Select!A:H,8,FALSE)</f>
        <v>2</v>
      </c>
      <c r="D27" s="1" t="s">
        <v>36</v>
      </c>
      <c r="E27" s="6">
        <f>VLOOKUP(D27,Select!B:H,7,FALSE)</f>
        <v>1</v>
      </c>
      <c r="F27" s="1" t="s">
        <v>34</v>
      </c>
      <c r="G27" s="6">
        <f>VLOOKUP(F27,Select!C:H,6,FALSE)</f>
        <v>2</v>
      </c>
      <c r="H27" s="1" t="s">
        <v>384</v>
      </c>
      <c r="I27" s="1">
        <v>1</v>
      </c>
      <c r="J27" s="1"/>
      <c r="K27" s="1"/>
      <c r="L27" s="1"/>
      <c r="M27" s="1" t="b">
        <v>0</v>
      </c>
      <c r="N27" s="1" t="s">
        <v>477</v>
      </c>
      <c r="O27" s="15">
        <f>VLOOKUP(N27,Select!D:H,5,FALSE)</f>
        <v>0</v>
      </c>
    </row>
    <row r="28" spans="1:15">
      <c r="A28" s="13">
        <v>3206</v>
      </c>
      <c r="B28" s="5" t="s">
        <v>25</v>
      </c>
      <c r="C28" s="6">
        <f>VLOOKUP(B28,Select!A:H,8,FALSE)</f>
        <v>2</v>
      </c>
      <c r="D28" s="5" t="s">
        <v>21</v>
      </c>
      <c r="E28" s="6">
        <f>VLOOKUP(D28,Select!B:H,7,FALSE)</f>
        <v>2</v>
      </c>
      <c r="F28" s="5" t="s">
        <v>3</v>
      </c>
      <c r="G28" s="6">
        <f>VLOOKUP(F28,Select!C:H,6,FALSE)</f>
        <v>0</v>
      </c>
      <c r="H28" s="5" t="s">
        <v>385</v>
      </c>
      <c r="I28" s="5">
        <v>4</v>
      </c>
      <c r="J28" s="5">
        <v>3</v>
      </c>
      <c r="K28" s="5">
        <v>3</v>
      </c>
      <c r="L28" s="5"/>
      <c r="M28" s="5" t="b">
        <v>0</v>
      </c>
      <c r="N28" s="5" t="s">
        <v>477</v>
      </c>
      <c r="O28" s="15">
        <f>VLOOKUP(N28,Select!D:H,5,FALSE)</f>
        <v>0</v>
      </c>
    </row>
    <row r="29" spans="1:15">
      <c r="A29" s="14">
        <v>3207</v>
      </c>
      <c r="B29" s="1" t="s">
        <v>25</v>
      </c>
      <c r="C29" s="6">
        <f>VLOOKUP(B29,Select!A:H,8,FALSE)</f>
        <v>2</v>
      </c>
      <c r="D29" s="1" t="s">
        <v>21</v>
      </c>
      <c r="E29" s="6">
        <f>VLOOKUP(D29,Select!B:H,7,FALSE)</f>
        <v>2</v>
      </c>
      <c r="F29" s="1" t="s">
        <v>23</v>
      </c>
      <c r="G29" s="6">
        <f>VLOOKUP(F29,Select!C:H,6,FALSE)</f>
        <v>1</v>
      </c>
      <c r="H29" s="1" t="s">
        <v>386</v>
      </c>
      <c r="I29" s="1">
        <v>1</v>
      </c>
      <c r="J29" s="1"/>
      <c r="K29" s="1"/>
      <c r="L29" s="1"/>
      <c r="M29" s="1" t="b">
        <v>0</v>
      </c>
      <c r="N29" s="1" t="s">
        <v>477</v>
      </c>
      <c r="O29" s="15">
        <f>VLOOKUP(N29,Select!D:H,5,FALSE)</f>
        <v>0</v>
      </c>
    </row>
    <row r="30" spans="1:15">
      <c r="A30" s="13">
        <v>3208</v>
      </c>
      <c r="B30" s="5" t="s">
        <v>25</v>
      </c>
      <c r="C30" s="6">
        <f>VLOOKUP(B30,Select!A:H,8,FALSE)</f>
        <v>2</v>
      </c>
      <c r="D30" s="5" t="s">
        <v>30</v>
      </c>
      <c r="E30" s="6">
        <f>VLOOKUP(D30,Select!B:H,7,FALSE)</f>
        <v>3</v>
      </c>
      <c r="F30" s="5" t="s">
        <v>3</v>
      </c>
      <c r="G30" s="6">
        <f>VLOOKUP(F30,Select!C:H,6,FALSE)</f>
        <v>0</v>
      </c>
      <c r="H30" s="5" t="s">
        <v>387</v>
      </c>
      <c r="I30" s="5">
        <v>3</v>
      </c>
      <c r="J30" s="5">
        <v>3</v>
      </c>
      <c r="K30" s="5">
        <v>3</v>
      </c>
      <c r="L30" s="5"/>
      <c r="M30" s="5" t="b">
        <v>0</v>
      </c>
      <c r="N30" s="5" t="s">
        <v>477</v>
      </c>
      <c r="O30" s="15">
        <f>VLOOKUP(N30,Select!D:H,5,FALSE)</f>
        <v>0</v>
      </c>
    </row>
    <row r="31" spans="1:15">
      <c r="A31" s="14">
        <v>3209</v>
      </c>
      <c r="B31" s="1" t="s">
        <v>25</v>
      </c>
      <c r="C31" s="6">
        <f>VLOOKUP(B31,Select!A:H,8,FALSE)</f>
        <v>2</v>
      </c>
      <c r="D31" s="1" t="s">
        <v>30</v>
      </c>
      <c r="E31" s="6">
        <f>VLOOKUP(D31,Select!B:H,7,FALSE)</f>
        <v>3</v>
      </c>
      <c r="F31" s="1" t="s">
        <v>3</v>
      </c>
      <c r="G31" s="6">
        <f>VLOOKUP(F31,Select!C:H,6,FALSE)</f>
        <v>0</v>
      </c>
      <c r="H31" s="1" t="s">
        <v>388</v>
      </c>
      <c r="I31" s="1">
        <v>6</v>
      </c>
      <c r="J31" s="1">
        <v>5</v>
      </c>
      <c r="K31" s="1">
        <v>6</v>
      </c>
      <c r="L31" s="1"/>
      <c r="M31" s="1" t="b">
        <v>0</v>
      </c>
      <c r="N31" s="1" t="s">
        <v>477</v>
      </c>
      <c r="O31" s="15">
        <f>VLOOKUP(N31,Select!D:H,5,FALSE)</f>
        <v>0</v>
      </c>
    </row>
    <row r="32" spans="1:15">
      <c r="A32" s="13">
        <v>3210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23</v>
      </c>
      <c r="G32" s="6">
        <f>VLOOKUP(F32,Select!C:H,6,FALSE)</f>
        <v>1</v>
      </c>
      <c r="H32" s="5" t="s">
        <v>389</v>
      </c>
      <c r="I32" s="5">
        <v>1</v>
      </c>
      <c r="J32" s="5"/>
      <c r="K32" s="5"/>
      <c r="L32" s="5"/>
      <c r="M32" s="5" t="b">
        <v>1</v>
      </c>
      <c r="N32" s="5" t="s">
        <v>472</v>
      </c>
      <c r="O32" s="15">
        <f>VLOOKUP(N32,Select!D:H,5,FALSE)</f>
        <v>13</v>
      </c>
    </row>
    <row r="33" spans="1:15">
      <c r="A33" s="14">
        <v>3211</v>
      </c>
      <c r="B33" s="1" t="s">
        <v>25</v>
      </c>
      <c r="C33" s="6">
        <f>VLOOKUP(B33,Select!A:H,8,FALSE)</f>
        <v>2</v>
      </c>
      <c r="D33" s="1" t="s">
        <v>11</v>
      </c>
      <c r="E33" s="6">
        <f>VLOOKUP(D33,Select!B:H,7,FALSE)</f>
        <v>0</v>
      </c>
      <c r="F33" s="1" t="s">
        <v>23</v>
      </c>
      <c r="G33" s="6">
        <f>VLOOKUP(F33,Select!C:H,6,FALSE)</f>
        <v>1</v>
      </c>
      <c r="H33" s="1" t="s">
        <v>390</v>
      </c>
      <c r="I33" s="1">
        <v>1</v>
      </c>
      <c r="J33" s="1"/>
      <c r="K33" s="1"/>
      <c r="L33" s="1"/>
      <c r="M33" s="1" t="b">
        <v>1</v>
      </c>
      <c r="N33" s="1" t="s">
        <v>472</v>
      </c>
      <c r="O33" s="15">
        <f>VLOOKUP(N33,Select!D:H,5,FALSE)</f>
        <v>13</v>
      </c>
    </row>
    <row r="34" spans="1:15">
      <c r="A34" s="13">
        <v>3212</v>
      </c>
      <c r="B34" s="5" t="s">
        <v>25</v>
      </c>
      <c r="C34" s="6">
        <f>VLOOKUP(B34,Select!A:H,8,FALSE)</f>
        <v>2</v>
      </c>
      <c r="D34" s="5" t="s">
        <v>10</v>
      </c>
      <c r="E34" s="6">
        <f>VLOOKUP(D34,Select!B:H,7,FALSE)</f>
        <v>0</v>
      </c>
      <c r="F34" s="5" t="s">
        <v>23</v>
      </c>
      <c r="G34" s="6">
        <f>VLOOKUP(F34,Select!C:H,6,FALSE)</f>
        <v>1</v>
      </c>
      <c r="H34" s="5" t="s">
        <v>391</v>
      </c>
      <c r="I34" s="5">
        <v>1</v>
      </c>
      <c r="J34" s="5"/>
      <c r="K34" s="5"/>
      <c r="L34" s="5"/>
      <c r="M34" s="5" t="b">
        <v>1</v>
      </c>
      <c r="N34" s="5" t="s">
        <v>472</v>
      </c>
      <c r="O34" s="15">
        <f>VLOOKUP(N34,Select!D:H,5,FALSE)</f>
        <v>13</v>
      </c>
    </row>
    <row r="35" spans="1:15">
      <c r="A35" s="14">
        <v>3213</v>
      </c>
      <c r="B35" s="1" t="s">
        <v>25</v>
      </c>
      <c r="C35" s="6">
        <f>VLOOKUP(B35,Select!A:H,8,FALSE)</f>
        <v>2</v>
      </c>
      <c r="D35" s="1" t="s">
        <v>10</v>
      </c>
      <c r="E35" s="6">
        <f>VLOOKUP(D35,Select!B:H,7,FALSE)</f>
        <v>0</v>
      </c>
      <c r="F35" s="1" t="s">
        <v>23</v>
      </c>
      <c r="G35" s="6">
        <f>VLOOKUP(F35,Select!C:H,6,FALSE)</f>
        <v>1</v>
      </c>
      <c r="H35" s="1" t="s">
        <v>392</v>
      </c>
      <c r="I35" s="1">
        <v>1</v>
      </c>
      <c r="J35" s="1"/>
      <c r="K35" s="1"/>
      <c r="L35" s="1"/>
      <c r="M35" s="1" t="b">
        <v>1</v>
      </c>
      <c r="N35" s="1" t="s">
        <v>472</v>
      </c>
      <c r="O35" s="15">
        <f>VLOOKUP(N35,Select!D:H,5,FALSE)</f>
        <v>13</v>
      </c>
    </row>
    <row r="36" spans="1:15">
      <c r="A36" s="13">
        <v>3214</v>
      </c>
      <c r="B36" s="5" t="s">
        <v>25</v>
      </c>
      <c r="C36" s="6">
        <f>VLOOKUP(B36,Select!A:H,8,FALSE)</f>
        <v>2</v>
      </c>
      <c r="D36" s="5" t="s">
        <v>30</v>
      </c>
      <c r="E36" s="6">
        <f>VLOOKUP(D36,Select!B:H,7,FALSE)</f>
        <v>3</v>
      </c>
      <c r="F36" s="5" t="s">
        <v>23</v>
      </c>
      <c r="G36" s="6">
        <f>VLOOKUP(F36,Select!C:H,6,FALSE)</f>
        <v>1</v>
      </c>
      <c r="H36" s="5" t="s">
        <v>393</v>
      </c>
      <c r="I36" s="5">
        <v>1</v>
      </c>
      <c r="J36" s="5"/>
      <c r="K36" s="5"/>
      <c r="L36" s="5"/>
      <c r="M36" s="5" t="b">
        <v>1</v>
      </c>
      <c r="N36" s="5" t="s">
        <v>477</v>
      </c>
      <c r="O36" s="15">
        <f>VLOOKUP(N36,Select!D:H,5,FALSE)</f>
        <v>0</v>
      </c>
    </row>
    <row r="37" spans="1:15">
      <c r="A37" s="14">
        <v>3300</v>
      </c>
      <c r="B37" s="1" t="s">
        <v>22</v>
      </c>
      <c r="C37" s="6">
        <f>VLOOKUP(B37,Select!A:H,8,FALSE)</f>
        <v>3</v>
      </c>
      <c r="D37" s="1" t="s">
        <v>10</v>
      </c>
      <c r="E37" s="6">
        <f>VLOOKUP(D37,Select!B:H,7,FALSE)</f>
        <v>0</v>
      </c>
      <c r="F37" s="1" t="s">
        <v>3</v>
      </c>
      <c r="G37" s="6">
        <f>VLOOKUP(F37,Select!C:H,6,FALSE)</f>
        <v>0</v>
      </c>
      <c r="H37" s="1" t="s">
        <v>394</v>
      </c>
      <c r="I37" s="1">
        <v>2</v>
      </c>
      <c r="J37" s="1">
        <v>2</v>
      </c>
      <c r="K37" s="1">
        <v>2</v>
      </c>
      <c r="L37" s="1"/>
      <c r="M37" s="1" t="b">
        <v>0</v>
      </c>
      <c r="N37" s="1" t="s">
        <v>477</v>
      </c>
      <c r="O37" s="15">
        <f>VLOOKUP(N37,Select!D:H,5,FALSE)</f>
        <v>0</v>
      </c>
    </row>
    <row r="38" spans="1:15">
      <c r="A38" s="13">
        <v>3301</v>
      </c>
      <c r="B38" s="5" t="s">
        <v>22</v>
      </c>
      <c r="C38" s="6">
        <f>VLOOKUP(B38,Select!A:H,8,FALSE)</f>
        <v>3</v>
      </c>
      <c r="D38" s="5" t="s">
        <v>10</v>
      </c>
      <c r="E38" s="6">
        <f>VLOOKUP(D38,Select!B:H,7,FALSE)</f>
        <v>0</v>
      </c>
      <c r="F38" s="5" t="s">
        <v>3</v>
      </c>
      <c r="G38" s="6">
        <f>VLOOKUP(F38,Select!C:H,6,FALSE)</f>
        <v>0</v>
      </c>
      <c r="H38" s="5" t="s">
        <v>395</v>
      </c>
      <c r="I38" s="5">
        <v>4</v>
      </c>
      <c r="J38" s="5">
        <v>3</v>
      </c>
      <c r="K38" s="5">
        <v>3</v>
      </c>
      <c r="L38" s="5"/>
      <c r="M38" s="5" t="b">
        <v>0</v>
      </c>
      <c r="N38" s="5" t="s">
        <v>477</v>
      </c>
      <c r="O38" s="15">
        <f>VLOOKUP(N38,Select!D:H,5,FALSE)</f>
        <v>0</v>
      </c>
    </row>
    <row r="39" spans="1:15">
      <c r="A39" s="14">
        <v>3302</v>
      </c>
      <c r="B39" s="1" t="s">
        <v>22</v>
      </c>
      <c r="C39" s="6">
        <f>VLOOKUP(B39,Select!A:H,8,FALSE)</f>
        <v>3</v>
      </c>
      <c r="D39" s="1" t="s">
        <v>10</v>
      </c>
      <c r="E39" s="6">
        <f>VLOOKUP(D39,Select!B:H,7,FALSE)</f>
        <v>0</v>
      </c>
      <c r="F39" s="1" t="s">
        <v>23</v>
      </c>
      <c r="G39" s="6">
        <f>VLOOKUP(F39,Select!C:H,6,FALSE)</f>
        <v>1</v>
      </c>
      <c r="H39" s="1" t="s">
        <v>396</v>
      </c>
      <c r="I39" s="1">
        <v>4</v>
      </c>
      <c r="J39" s="1"/>
      <c r="K39" s="1"/>
      <c r="L39" s="1"/>
      <c r="M39" s="1" t="b">
        <v>0</v>
      </c>
      <c r="N39" s="1" t="s">
        <v>477</v>
      </c>
      <c r="O39" s="15">
        <f>VLOOKUP(N39,Select!D:H,5,FALSE)</f>
        <v>0</v>
      </c>
    </row>
    <row r="40" spans="1:15">
      <c r="A40" s="13">
        <v>3303</v>
      </c>
      <c r="B40" s="5" t="s">
        <v>22</v>
      </c>
      <c r="C40" s="6">
        <f>VLOOKUP(B40,Select!A:H,8,FALSE)</f>
        <v>3</v>
      </c>
      <c r="D40" s="5" t="s">
        <v>36</v>
      </c>
      <c r="E40" s="6">
        <f>VLOOKUP(D40,Select!B:H,7,FALSE)</f>
        <v>1</v>
      </c>
      <c r="F40" s="5" t="s">
        <v>3</v>
      </c>
      <c r="G40" s="6">
        <f>VLOOKUP(F40,Select!C:H,6,FALSE)</f>
        <v>0</v>
      </c>
      <c r="H40" s="5" t="s">
        <v>397</v>
      </c>
      <c r="I40" s="5">
        <v>5</v>
      </c>
      <c r="J40" s="5">
        <v>3</v>
      </c>
      <c r="K40" s="5">
        <v>2</v>
      </c>
      <c r="L40" s="5"/>
      <c r="M40" s="5" t="b">
        <v>0</v>
      </c>
      <c r="N40" s="5" t="s">
        <v>477</v>
      </c>
      <c r="O40" s="15">
        <f>VLOOKUP(N40,Select!D:H,5,FALSE)</f>
        <v>0</v>
      </c>
    </row>
    <row r="41" spans="1:15">
      <c r="A41" s="14">
        <v>3304</v>
      </c>
      <c r="B41" s="1" t="s">
        <v>22</v>
      </c>
      <c r="C41" s="6">
        <f>VLOOKUP(B41,Select!A:H,8,FALSE)</f>
        <v>3</v>
      </c>
      <c r="D41" s="1" t="s">
        <v>36</v>
      </c>
      <c r="E41" s="6">
        <f>VLOOKUP(D41,Select!B:H,7,FALSE)</f>
        <v>1</v>
      </c>
      <c r="F41" s="1" t="s">
        <v>23</v>
      </c>
      <c r="G41" s="6">
        <f>VLOOKUP(F41,Select!C:H,6,FALSE)</f>
        <v>1</v>
      </c>
      <c r="H41" s="1" t="s">
        <v>398</v>
      </c>
      <c r="I41" s="1">
        <v>4</v>
      </c>
      <c r="J41" s="1"/>
      <c r="K41" s="1"/>
      <c r="L41" s="1"/>
      <c r="M41" s="1" t="b">
        <v>0</v>
      </c>
      <c r="N41" s="1" t="s">
        <v>477</v>
      </c>
      <c r="O41" s="15">
        <f>VLOOKUP(N41,Select!D:H,5,FALSE)</f>
        <v>0</v>
      </c>
    </row>
    <row r="42" spans="1:15">
      <c r="A42" s="13">
        <v>3305</v>
      </c>
      <c r="B42" s="5" t="s">
        <v>22</v>
      </c>
      <c r="C42" s="6">
        <f>VLOOKUP(B42,Select!A:H,8,FALSE)</f>
        <v>3</v>
      </c>
      <c r="D42" s="5" t="s">
        <v>36</v>
      </c>
      <c r="E42" s="6">
        <f>VLOOKUP(D42,Select!B:H,7,FALSE)</f>
        <v>1</v>
      </c>
      <c r="F42" s="5" t="s">
        <v>34</v>
      </c>
      <c r="G42" s="6">
        <f>VLOOKUP(F42,Select!C:H,6,FALSE)</f>
        <v>2</v>
      </c>
      <c r="H42" s="5" t="s">
        <v>399</v>
      </c>
      <c r="I42" s="5">
        <v>3</v>
      </c>
      <c r="J42" s="5"/>
      <c r="K42" s="5"/>
      <c r="L42" s="5"/>
      <c r="M42" s="5" t="b">
        <v>0</v>
      </c>
      <c r="N42" s="5" t="s">
        <v>477</v>
      </c>
      <c r="O42" s="15">
        <f>VLOOKUP(N42,Select!D:H,5,FALSE)</f>
        <v>0</v>
      </c>
    </row>
    <row r="43" spans="1:15">
      <c r="A43" s="14">
        <v>3306</v>
      </c>
      <c r="B43" s="1" t="s">
        <v>22</v>
      </c>
      <c r="C43" s="6">
        <f>VLOOKUP(B43,Select!A:H,8,FALSE)</f>
        <v>3</v>
      </c>
      <c r="D43" s="1" t="s">
        <v>21</v>
      </c>
      <c r="E43" s="6">
        <f>VLOOKUP(D43,Select!B:H,7,FALSE)</f>
        <v>2</v>
      </c>
      <c r="F43" s="1" t="s">
        <v>3</v>
      </c>
      <c r="G43" s="6">
        <f>VLOOKUP(F43,Select!C:H,6,FALSE)</f>
        <v>0</v>
      </c>
      <c r="H43" s="1" t="s">
        <v>400</v>
      </c>
      <c r="I43" s="1">
        <v>3</v>
      </c>
      <c r="J43" s="1">
        <v>3</v>
      </c>
      <c r="K43" s="1">
        <v>1</v>
      </c>
      <c r="L43" s="1"/>
      <c r="M43" s="1" t="b">
        <v>0</v>
      </c>
      <c r="N43" s="1" t="s">
        <v>477</v>
      </c>
      <c r="O43" s="15">
        <f>VLOOKUP(N43,Select!D:H,5,FALSE)</f>
        <v>0</v>
      </c>
    </row>
    <row r="44" spans="1:15">
      <c r="A44" s="13">
        <v>3307</v>
      </c>
      <c r="B44" s="5" t="s">
        <v>22</v>
      </c>
      <c r="C44" s="6">
        <f>VLOOKUP(B44,Select!A:H,8,FALSE)</f>
        <v>3</v>
      </c>
      <c r="D44" s="5" t="s">
        <v>21</v>
      </c>
      <c r="E44" s="6">
        <f>VLOOKUP(D44,Select!B:H,7,FALSE)</f>
        <v>2</v>
      </c>
      <c r="F44" s="5" t="s">
        <v>23</v>
      </c>
      <c r="G44" s="6">
        <f>VLOOKUP(F44,Select!C:H,6,FALSE)</f>
        <v>1</v>
      </c>
      <c r="H44" s="5" t="s">
        <v>401</v>
      </c>
      <c r="I44" s="5">
        <v>2</v>
      </c>
      <c r="J44" s="5"/>
      <c r="K44" s="5"/>
      <c r="L44" s="5"/>
      <c r="M44" s="5" t="b">
        <v>0</v>
      </c>
      <c r="N44" s="5" t="s">
        <v>477</v>
      </c>
      <c r="O44" s="15">
        <f>VLOOKUP(N44,Select!D:H,5,FALSE)</f>
        <v>0</v>
      </c>
    </row>
    <row r="45" spans="1:15">
      <c r="A45" s="14">
        <v>3308</v>
      </c>
      <c r="B45" s="1" t="s">
        <v>22</v>
      </c>
      <c r="C45" s="6">
        <f>VLOOKUP(B45,Select!A:H,8,FALSE)</f>
        <v>3</v>
      </c>
      <c r="D45" s="1" t="s">
        <v>30</v>
      </c>
      <c r="E45" s="6">
        <f>VLOOKUP(D45,Select!B:H,7,FALSE)</f>
        <v>3</v>
      </c>
      <c r="F45" s="1" t="s">
        <v>3</v>
      </c>
      <c r="G45" s="6">
        <f>VLOOKUP(F45,Select!C:H,6,FALSE)</f>
        <v>0</v>
      </c>
      <c r="H45" s="1" t="s">
        <v>402</v>
      </c>
      <c r="I45" s="1">
        <v>2</v>
      </c>
      <c r="J45" s="1">
        <v>1</v>
      </c>
      <c r="K45" s="1">
        <v>1</v>
      </c>
      <c r="L45" s="1"/>
      <c r="M45" s="1" t="b">
        <v>0</v>
      </c>
      <c r="N45" s="1" t="s">
        <v>477</v>
      </c>
      <c r="O45" s="15">
        <f>VLOOKUP(N45,Select!D:H,5,FALSE)</f>
        <v>0</v>
      </c>
    </row>
    <row r="46" spans="1:15">
      <c r="A46" s="13">
        <v>3309</v>
      </c>
      <c r="B46" s="5" t="s">
        <v>22</v>
      </c>
      <c r="C46" s="6">
        <f>VLOOKUP(B46,Select!A:H,8,FALSE)</f>
        <v>3</v>
      </c>
      <c r="D46" s="5" t="s">
        <v>30</v>
      </c>
      <c r="E46" s="6">
        <f>VLOOKUP(D46,Select!B:H,7,FALSE)</f>
        <v>3</v>
      </c>
      <c r="F46" s="5" t="s">
        <v>3</v>
      </c>
      <c r="G46" s="6">
        <f>VLOOKUP(F46,Select!C:H,6,FALSE)</f>
        <v>0</v>
      </c>
      <c r="H46" s="5" t="s">
        <v>403</v>
      </c>
      <c r="I46" s="5">
        <v>9</v>
      </c>
      <c r="J46" s="5">
        <v>9</v>
      </c>
      <c r="K46" s="5">
        <v>9</v>
      </c>
      <c r="L46" s="5"/>
      <c r="M46" s="5" t="b">
        <v>0</v>
      </c>
      <c r="N46" s="5" t="s">
        <v>477</v>
      </c>
      <c r="O46" s="15">
        <f>VLOOKUP(N46,Select!D:H,5,FALSE)</f>
        <v>0</v>
      </c>
    </row>
    <row r="47" spans="1:15">
      <c r="A47" s="14">
        <v>3310</v>
      </c>
      <c r="B47" s="1" t="s">
        <v>22</v>
      </c>
      <c r="C47" s="6">
        <f>VLOOKUP(B47,Select!A:H,8,FALSE)</f>
        <v>3</v>
      </c>
      <c r="D47" s="1" t="s">
        <v>30</v>
      </c>
      <c r="E47" s="6">
        <f>VLOOKUP(D47,Select!B:H,7,FALSE)</f>
        <v>3</v>
      </c>
      <c r="F47" s="1" t="s">
        <v>23</v>
      </c>
      <c r="G47" s="6">
        <f>VLOOKUP(F47,Select!C:H,6,FALSE)</f>
        <v>1</v>
      </c>
      <c r="H47" s="1" t="s">
        <v>404</v>
      </c>
      <c r="I47" s="1">
        <v>4</v>
      </c>
      <c r="J47" s="1"/>
      <c r="K47" s="1"/>
      <c r="L47" s="1"/>
      <c r="M47" s="1" t="b">
        <v>1</v>
      </c>
      <c r="N47" s="1" t="s">
        <v>477</v>
      </c>
      <c r="O47" s="15">
        <f>VLOOKUP(N47,Select!D:H,5,FALSE)</f>
        <v>0</v>
      </c>
    </row>
    <row r="48" spans="1:15">
      <c r="A48" s="13">
        <v>3400</v>
      </c>
      <c r="B48" s="5" t="s">
        <v>26</v>
      </c>
      <c r="C48" s="6">
        <f>VLOOKUP(B48,Select!A:H,8,FALSE)</f>
        <v>4</v>
      </c>
      <c r="D48" s="5" t="s">
        <v>10</v>
      </c>
      <c r="E48" s="6">
        <f>VLOOKUP(D48,Select!B:H,7,FALSE)</f>
        <v>0</v>
      </c>
      <c r="F48" s="5" t="s">
        <v>3</v>
      </c>
      <c r="G48" s="6">
        <f>VLOOKUP(F48,Select!C:H,6,FALSE)</f>
        <v>0</v>
      </c>
      <c r="H48" s="5" t="s">
        <v>405</v>
      </c>
      <c r="I48" s="5">
        <v>2</v>
      </c>
      <c r="J48" s="5">
        <v>2</v>
      </c>
      <c r="K48" s="5">
        <v>2</v>
      </c>
      <c r="L48" s="5"/>
      <c r="M48" s="5" t="b">
        <v>0</v>
      </c>
      <c r="N48" s="5" t="s">
        <v>477</v>
      </c>
      <c r="O48" s="15">
        <f>VLOOKUP(N48,Select!D:H,5,FALSE)</f>
        <v>0</v>
      </c>
    </row>
    <row r="49" spans="1:15">
      <c r="A49" s="14">
        <v>3401</v>
      </c>
      <c r="B49" s="1" t="s">
        <v>26</v>
      </c>
      <c r="C49" s="6">
        <f>VLOOKUP(B49,Select!A:H,8,FALSE)</f>
        <v>4</v>
      </c>
      <c r="D49" s="1" t="s">
        <v>10</v>
      </c>
      <c r="E49" s="6">
        <f>VLOOKUP(D49,Select!B:H,7,FALSE)</f>
        <v>0</v>
      </c>
      <c r="F49" s="1" t="s">
        <v>3</v>
      </c>
      <c r="G49" s="6">
        <f>VLOOKUP(F49,Select!C:H,6,FALSE)</f>
        <v>0</v>
      </c>
      <c r="H49" s="1" t="s">
        <v>406</v>
      </c>
      <c r="I49" s="1">
        <v>6</v>
      </c>
      <c r="J49" s="1">
        <v>6</v>
      </c>
      <c r="K49" s="1">
        <v>6</v>
      </c>
      <c r="L49" s="1"/>
      <c r="M49" s="1" t="b">
        <v>0</v>
      </c>
      <c r="N49" s="1" t="s">
        <v>477</v>
      </c>
      <c r="O49" s="15">
        <f>VLOOKUP(N49,Select!D:H,5,FALSE)</f>
        <v>0</v>
      </c>
    </row>
    <row r="50" spans="1:15">
      <c r="A50" s="13">
        <v>3402</v>
      </c>
      <c r="B50" s="5" t="s">
        <v>26</v>
      </c>
      <c r="C50" s="6">
        <f>VLOOKUP(B50,Select!A:H,8,FALSE)</f>
        <v>4</v>
      </c>
      <c r="D50" s="5" t="s">
        <v>10</v>
      </c>
      <c r="E50" s="6">
        <f>VLOOKUP(D50,Select!B:H,7,FALSE)</f>
        <v>0</v>
      </c>
      <c r="F50" s="5" t="s">
        <v>23</v>
      </c>
      <c r="G50" s="6">
        <f>VLOOKUP(F50,Select!C:H,6,FALSE)</f>
        <v>1</v>
      </c>
      <c r="H50" s="5" t="s">
        <v>407</v>
      </c>
      <c r="I50" s="5">
        <v>3</v>
      </c>
      <c r="J50" s="5"/>
      <c r="K50" s="5"/>
      <c r="L50" s="5"/>
      <c r="M50" s="5" t="b">
        <v>0</v>
      </c>
      <c r="N50" s="5" t="s">
        <v>477</v>
      </c>
      <c r="O50" s="15">
        <f>VLOOKUP(N50,Select!D:H,5,FALSE)</f>
        <v>0</v>
      </c>
    </row>
    <row r="51" spans="1:15">
      <c r="A51" s="14">
        <v>3403</v>
      </c>
      <c r="B51" s="1" t="s">
        <v>26</v>
      </c>
      <c r="C51" s="6">
        <f>VLOOKUP(B51,Select!A:H,8,FALSE)</f>
        <v>4</v>
      </c>
      <c r="D51" s="1" t="s">
        <v>36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1" t="s">
        <v>408</v>
      </c>
      <c r="I51" s="1">
        <v>3</v>
      </c>
      <c r="J51" s="1">
        <v>1</v>
      </c>
      <c r="K51" s="1">
        <v>1</v>
      </c>
      <c r="L51" s="1"/>
      <c r="M51" s="1" t="b">
        <v>0</v>
      </c>
      <c r="N51" s="1" t="s">
        <v>477</v>
      </c>
      <c r="O51" s="15">
        <f>VLOOKUP(N51,Select!D:H,5,FALSE)</f>
        <v>0</v>
      </c>
    </row>
    <row r="52" spans="1:15">
      <c r="A52" s="13">
        <v>3404</v>
      </c>
      <c r="B52" s="5" t="s">
        <v>26</v>
      </c>
      <c r="C52" s="6">
        <f>VLOOKUP(B52,Select!A:H,8,FALSE)</f>
        <v>4</v>
      </c>
      <c r="D52" s="5" t="s">
        <v>36</v>
      </c>
      <c r="E52" s="6">
        <f>VLOOKUP(D52,Select!B:H,7,FALSE)</f>
        <v>1</v>
      </c>
      <c r="F52" s="5" t="s">
        <v>3</v>
      </c>
      <c r="G52" s="6">
        <f>VLOOKUP(F52,Select!C:H,6,FALSE)</f>
        <v>0</v>
      </c>
      <c r="H52" s="5" t="s">
        <v>409</v>
      </c>
      <c r="I52" s="5">
        <v>5</v>
      </c>
      <c r="J52" s="5">
        <v>3</v>
      </c>
      <c r="K52" s="5">
        <v>5</v>
      </c>
      <c r="L52" s="5"/>
      <c r="M52" s="5" t="b">
        <v>0</v>
      </c>
      <c r="N52" s="5" t="s">
        <v>477</v>
      </c>
      <c r="O52" s="15">
        <f>VLOOKUP(N52,Select!D:H,5,FALSE)</f>
        <v>0</v>
      </c>
    </row>
    <row r="53" spans="1:15">
      <c r="A53" s="14">
        <v>3405</v>
      </c>
      <c r="B53" s="1" t="s">
        <v>26</v>
      </c>
      <c r="C53" s="6">
        <f>VLOOKUP(B53,Select!A:H,8,FALSE)</f>
        <v>4</v>
      </c>
      <c r="D53" s="1" t="s">
        <v>36</v>
      </c>
      <c r="E53" s="6">
        <f>VLOOKUP(D53,Select!B:H,7,FALSE)</f>
        <v>1</v>
      </c>
      <c r="F53" s="1" t="s">
        <v>34</v>
      </c>
      <c r="G53" s="6">
        <f>VLOOKUP(F53,Select!C:H,6,FALSE)</f>
        <v>2</v>
      </c>
      <c r="H53" s="1" t="s">
        <v>410</v>
      </c>
      <c r="I53" s="1">
        <v>2</v>
      </c>
      <c r="J53" s="1"/>
      <c r="K53" s="1"/>
      <c r="L53" s="1"/>
      <c r="M53" s="1" t="b">
        <v>0</v>
      </c>
      <c r="N53" s="1" t="s">
        <v>477</v>
      </c>
      <c r="O53" s="15">
        <f>VLOOKUP(N53,Select!D:H,5,FALSE)</f>
        <v>0</v>
      </c>
    </row>
    <row r="54" spans="1:15">
      <c r="A54" s="13">
        <v>3406</v>
      </c>
      <c r="B54" s="5" t="s">
        <v>26</v>
      </c>
      <c r="C54" s="6">
        <f>VLOOKUP(B54,Select!A:H,8,FALSE)</f>
        <v>4</v>
      </c>
      <c r="D54" s="5" t="s">
        <v>21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5" t="s">
        <v>411</v>
      </c>
      <c r="I54" s="5">
        <v>6</v>
      </c>
      <c r="J54" s="5">
        <v>5</v>
      </c>
      <c r="K54" s="5">
        <v>7</v>
      </c>
      <c r="L54" s="5"/>
      <c r="M54" s="5" t="b">
        <v>0</v>
      </c>
      <c r="N54" s="5" t="s">
        <v>477</v>
      </c>
      <c r="O54" s="15">
        <f>VLOOKUP(N54,Select!D:H,5,FALSE)</f>
        <v>0</v>
      </c>
    </row>
    <row r="55" spans="1:15">
      <c r="A55" s="14">
        <v>3407</v>
      </c>
      <c r="B55" s="1" t="s">
        <v>26</v>
      </c>
      <c r="C55" s="6">
        <f>VLOOKUP(B55,Select!A:H,8,FALSE)</f>
        <v>4</v>
      </c>
      <c r="D55" s="1" t="s">
        <v>21</v>
      </c>
      <c r="E55" s="6">
        <f>VLOOKUP(D55,Select!B:H,7,FALSE)</f>
        <v>2</v>
      </c>
      <c r="F55" s="1" t="s">
        <v>23</v>
      </c>
      <c r="G55" s="6">
        <f>VLOOKUP(F55,Select!C:H,6,FALSE)</f>
        <v>1</v>
      </c>
      <c r="H55" s="1" t="s">
        <v>412</v>
      </c>
      <c r="I55" s="1">
        <v>1</v>
      </c>
      <c r="J55" s="1"/>
      <c r="K55" s="1"/>
      <c r="L55" s="1"/>
      <c r="M55" s="1" t="b">
        <v>0</v>
      </c>
      <c r="N55" s="1" t="s">
        <v>477</v>
      </c>
      <c r="O55" s="15">
        <f>VLOOKUP(N55,Select!D:H,5,FALSE)</f>
        <v>0</v>
      </c>
    </row>
    <row r="56" spans="1:15">
      <c r="A56" s="13">
        <v>3408</v>
      </c>
      <c r="B56" s="5" t="s">
        <v>26</v>
      </c>
      <c r="C56" s="6">
        <f>VLOOKUP(B56,Select!A:H,8,FALSE)</f>
        <v>4</v>
      </c>
      <c r="D56" s="5" t="s">
        <v>30</v>
      </c>
      <c r="E56" s="6">
        <f>VLOOKUP(D56,Select!B:H,7,FALSE)</f>
        <v>3</v>
      </c>
      <c r="F56" s="5" t="s">
        <v>3</v>
      </c>
      <c r="G56" s="6">
        <f>VLOOKUP(F56,Select!C:H,6,FALSE)</f>
        <v>0</v>
      </c>
      <c r="H56" s="5" t="s">
        <v>413</v>
      </c>
      <c r="I56" s="5">
        <v>5</v>
      </c>
      <c r="J56" s="5">
        <v>5</v>
      </c>
      <c r="K56" s="5">
        <v>5</v>
      </c>
      <c r="L56" s="5"/>
      <c r="M56" s="5" t="b">
        <v>0</v>
      </c>
      <c r="N56" s="5" t="s">
        <v>477</v>
      </c>
      <c r="O56" s="15">
        <f>VLOOKUP(N56,Select!D:H,5,FALSE)</f>
        <v>0</v>
      </c>
    </row>
    <row r="57" spans="1:15">
      <c r="A57" s="14">
        <v>3409</v>
      </c>
      <c r="B57" s="1" t="s">
        <v>26</v>
      </c>
      <c r="C57" s="6">
        <f>VLOOKUP(B57,Select!A:H,8,FALSE)</f>
        <v>4</v>
      </c>
      <c r="D57" s="1" t="s">
        <v>30</v>
      </c>
      <c r="E57" s="6">
        <f>VLOOKUP(D57,Select!B:H,7,FALSE)</f>
        <v>3</v>
      </c>
      <c r="F57" s="1" t="s">
        <v>3</v>
      </c>
      <c r="G57" s="6">
        <f>VLOOKUP(F57,Select!C:H,6,FALSE)</f>
        <v>0</v>
      </c>
      <c r="H57" s="1" t="s">
        <v>414</v>
      </c>
      <c r="I57" s="1">
        <v>9</v>
      </c>
      <c r="J57" s="1">
        <v>5</v>
      </c>
      <c r="K57" s="1">
        <v>7</v>
      </c>
      <c r="L57" s="1"/>
      <c r="M57" s="1" t="b">
        <v>0</v>
      </c>
      <c r="N57" s="1" t="s">
        <v>477</v>
      </c>
      <c r="O57" s="15">
        <f>VLOOKUP(N57,Select!D:H,5,FALSE)</f>
        <v>0</v>
      </c>
    </row>
    <row r="58" spans="1:15">
      <c r="A58" s="13">
        <v>3410</v>
      </c>
      <c r="B58" s="5" t="s">
        <v>26</v>
      </c>
      <c r="C58" s="6">
        <f>VLOOKUP(B58,Select!A:H,8,FALSE)</f>
        <v>4</v>
      </c>
      <c r="D58" s="5" t="s">
        <v>30</v>
      </c>
      <c r="E58" s="6">
        <f>VLOOKUP(D58,Select!B:H,7,FALSE)</f>
        <v>3</v>
      </c>
      <c r="F58" s="5" t="s">
        <v>23</v>
      </c>
      <c r="G58" s="6">
        <f>VLOOKUP(F58,Select!C:H,6,FALSE)</f>
        <v>1</v>
      </c>
      <c r="H58" s="5" t="s">
        <v>415</v>
      </c>
      <c r="I58" s="5">
        <v>0</v>
      </c>
      <c r="J58" s="5"/>
      <c r="K58" s="5"/>
      <c r="L58" s="5"/>
      <c r="M58" s="5" t="b">
        <v>1</v>
      </c>
      <c r="N58" s="5" t="s">
        <v>477</v>
      </c>
      <c r="O58" s="15">
        <f>VLOOKUP(N58,Select!D:H,5,FALSE)</f>
        <v>0</v>
      </c>
    </row>
    <row r="59" spans="1:15">
      <c r="A59" s="14">
        <v>3500</v>
      </c>
      <c r="B59" s="1" t="s">
        <v>27</v>
      </c>
      <c r="C59" s="6">
        <f>VLOOKUP(B59,Select!A:H,8,FALSE)</f>
        <v>5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416</v>
      </c>
      <c r="I59" s="1">
        <v>3</v>
      </c>
      <c r="J59" s="1">
        <v>1</v>
      </c>
      <c r="K59" s="1">
        <v>1</v>
      </c>
      <c r="L59" s="1"/>
      <c r="M59" s="1" t="b">
        <v>0</v>
      </c>
      <c r="N59" s="1" t="s">
        <v>477</v>
      </c>
      <c r="O59" s="15">
        <f>VLOOKUP(N59,Select!D:H,5,FALSE)</f>
        <v>0</v>
      </c>
    </row>
    <row r="60" spans="1:15">
      <c r="A60" s="13">
        <v>3501</v>
      </c>
      <c r="B60" s="5" t="s">
        <v>27</v>
      </c>
      <c r="C60" s="6">
        <f>VLOOKUP(B60,Select!A:H,8,FALSE)</f>
        <v>5</v>
      </c>
      <c r="D60" s="5" t="s">
        <v>10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5" t="s">
        <v>417</v>
      </c>
      <c r="I60" s="5">
        <v>8</v>
      </c>
      <c r="J60" s="5">
        <v>4</v>
      </c>
      <c r="K60" s="5">
        <v>6</v>
      </c>
      <c r="L60" s="5"/>
      <c r="M60" s="5" t="b">
        <v>0</v>
      </c>
      <c r="N60" s="5" t="s">
        <v>477</v>
      </c>
      <c r="O60" s="15">
        <f>VLOOKUP(N60,Select!D:H,5,FALSE)</f>
        <v>0</v>
      </c>
    </row>
    <row r="61" spans="1:15">
      <c r="A61" s="14">
        <v>3502</v>
      </c>
      <c r="B61" s="1" t="s">
        <v>27</v>
      </c>
      <c r="C61" s="6">
        <f>VLOOKUP(B61,Select!A:H,8,FALSE)</f>
        <v>5</v>
      </c>
      <c r="D61" s="1" t="s">
        <v>10</v>
      </c>
      <c r="E61" s="6">
        <f>VLOOKUP(D61,Select!B:H,7,FALSE)</f>
        <v>0</v>
      </c>
      <c r="F61" s="1" t="s">
        <v>23</v>
      </c>
      <c r="G61" s="6">
        <f>VLOOKUP(F61,Select!C:H,6,FALSE)</f>
        <v>1</v>
      </c>
      <c r="H61" s="1" t="s">
        <v>418</v>
      </c>
      <c r="I61" s="1">
        <v>4</v>
      </c>
      <c r="J61" s="1"/>
      <c r="K61" s="1"/>
      <c r="L61" s="1"/>
      <c r="M61" s="1" t="b">
        <v>0</v>
      </c>
      <c r="N61" s="1" t="s">
        <v>477</v>
      </c>
      <c r="O61" s="15">
        <f>VLOOKUP(N61,Select!D:H,5,FALSE)</f>
        <v>0</v>
      </c>
    </row>
    <row r="62" spans="1:15">
      <c r="A62" s="13">
        <v>3503</v>
      </c>
      <c r="B62" s="5" t="s">
        <v>27</v>
      </c>
      <c r="C62" s="6">
        <f>VLOOKUP(B62,Select!A:H,8,FALSE)</f>
        <v>5</v>
      </c>
      <c r="D62" s="5" t="s">
        <v>36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5" t="s">
        <v>419</v>
      </c>
      <c r="I62" s="5">
        <v>2</v>
      </c>
      <c r="J62" s="5">
        <v>2</v>
      </c>
      <c r="K62" s="5">
        <v>2</v>
      </c>
      <c r="L62" s="5"/>
      <c r="M62" s="5" t="b">
        <v>0</v>
      </c>
      <c r="N62" s="5" t="s">
        <v>477</v>
      </c>
      <c r="O62" s="15">
        <f>VLOOKUP(N62,Select!D:H,5,FALSE)</f>
        <v>0</v>
      </c>
    </row>
    <row r="63" spans="1:15">
      <c r="A63" s="14">
        <v>3504</v>
      </c>
      <c r="B63" s="1" t="s">
        <v>27</v>
      </c>
      <c r="C63" s="6">
        <f>VLOOKUP(B63,Select!A:H,8,FALSE)</f>
        <v>5</v>
      </c>
      <c r="D63" s="1" t="s">
        <v>36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1" t="s">
        <v>420</v>
      </c>
      <c r="I63" s="1">
        <v>4</v>
      </c>
      <c r="J63" s="1">
        <v>4</v>
      </c>
      <c r="K63" s="1">
        <v>4</v>
      </c>
      <c r="L63" s="1"/>
      <c r="M63" s="1" t="b">
        <v>0</v>
      </c>
      <c r="N63" s="1" t="s">
        <v>477</v>
      </c>
      <c r="O63" s="15">
        <f>VLOOKUP(N63,Select!D:H,5,FALSE)</f>
        <v>0</v>
      </c>
    </row>
    <row r="64" spans="1:15">
      <c r="A64" s="13">
        <v>3505</v>
      </c>
      <c r="B64" s="5" t="s">
        <v>27</v>
      </c>
      <c r="C64" s="6">
        <f>VLOOKUP(B64,Select!A:H,8,FALSE)</f>
        <v>5</v>
      </c>
      <c r="D64" s="5" t="s">
        <v>36</v>
      </c>
      <c r="E64" s="6">
        <f>VLOOKUP(D64,Select!B:H,7,FALSE)</f>
        <v>1</v>
      </c>
      <c r="F64" s="5" t="s">
        <v>34</v>
      </c>
      <c r="G64" s="6">
        <f>VLOOKUP(F64,Select!C:H,6,FALSE)</f>
        <v>2</v>
      </c>
      <c r="H64" s="5" t="s">
        <v>421</v>
      </c>
      <c r="I64" s="5">
        <v>2</v>
      </c>
      <c r="J64" s="5"/>
      <c r="K64" s="5"/>
      <c r="L64" s="5"/>
      <c r="M64" s="5" t="b">
        <v>0</v>
      </c>
      <c r="N64" s="5" t="s">
        <v>477</v>
      </c>
      <c r="O64" s="15">
        <f>VLOOKUP(N64,Select!D:H,5,FALSE)</f>
        <v>0</v>
      </c>
    </row>
    <row r="65" spans="1:15">
      <c r="A65" s="14">
        <v>3506</v>
      </c>
      <c r="B65" s="1" t="s">
        <v>27</v>
      </c>
      <c r="C65" s="6">
        <f>VLOOKUP(B65,Select!A:H,8,FALSE)</f>
        <v>5</v>
      </c>
      <c r="D65" s="1" t="s">
        <v>21</v>
      </c>
      <c r="E65" s="6">
        <f>VLOOKUP(D65,Select!B:H,7,FALSE)</f>
        <v>2</v>
      </c>
      <c r="F65" s="1" t="s">
        <v>3</v>
      </c>
      <c r="G65" s="6">
        <f>VLOOKUP(F65,Select!C:H,6,FALSE)</f>
        <v>0</v>
      </c>
      <c r="H65" s="1" t="s">
        <v>422</v>
      </c>
      <c r="I65" s="1">
        <v>5</v>
      </c>
      <c r="J65" s="1">
        <v>4</v>
      </c>
      <c r="K65" s="1">
        <v>4</v>
      </c>
      <c r="L65" s="1"/>
      <c r="M65" s="1" t="b">
        <v>0</v>
      </c>
      <c r="N65" s="1" t="s">
        <v>477</v>
      </c>
      <c r="O65" s="15">
        <f>VLOOKUP(N65,Select!D:H,5,FALSE)</f>
        <v>0</v>
      </c>
    </row>
    <row r="66" spans="1:15">
      <c r="A66" s="13">
        <v>3507</v>
      </c>
      <c r="B66" s="5" t="s">
        <v>27</v>
      </c>
      <c r="C66" s="6">
        <f>VLOOKUP(B66,Select!A:H,8,FALSE)</f>
        <v>5</v>
      </c>
      <c r="D66" s="5" t="s">
        <v>21</v>
      </c>
      <c r="E66" s="6">
        <f>VLOOKUP(D66,Select!B:H,7,FALSE)</f>
        <v>2</v>
      </c>
      <c r="F66" s="5" t="s">
        <v>23</v>
      </c>
      <c r="G66" s="6">
        <f>VLOOKUP(F66,Select!C:H,6,FALSE)</f>
        <v>1</v>
      </c>
      <c r="H66" s="5" t="s">
        <v>423</v>
      </c>
      <c r="I66" s="5">
        <v>3</v>
      </c>
      <c r="J66" s="5"/>
      <c r="K66" s="5"/>
      <c r="L66" s="5"/>
      <c r="M66" s="5" t="b">
        <v>0</v>
      </c>
      <c r="N66" s="5" t="s">
        <v>477</v>
      </c>
      <c r="O66" s="15">
        <f>VLOOKUP(N66,Select!D:H,5,FALSE)</f>
        <v>0</v>
      </c>
    </row>
    <row r="67" spans="1:15">
      <c r="A67" s="14">
        <v>3508</v>
      </c>
      <c r="B67" s="1" t="s">
        <v>27</v>
      </c>
      <c r="C67" s="6">
        <f>VLOOKUP(B67,Select!A:H,8,FALSE)</f>
        <v>5</v>
      </c>
      <c r="D67" s="1" t="s">
        <v>30</v>
      </c>
      <c r="E67" s="6">
        <f>VLOOKUP(D67,Select!B:H,7,FALSE)</f>
        <v>3</v>
      </c>
      <c r="F67" s="1" t="s">
        <v>3</v>
      </c>
      <c r="G67" s="6">
        <f>VLOOKUP(F67,Select!C:H,6,FALSE)</f>
        <v>0</v>
      </c>
      <c r="H67" s="1" t="s">
        <v>424</v>
      </c>
      <c r="I67" s="1">
        <v>2</v>
      </c>
      <c r="J67" s="1">
        <v>2</v>
      </c>
      <c r="K67" s="1">
        <v>2</v>
      </c>
      <c r="L67" s="1"/>
      <c r="M67" s="1" t="b">
        <v>0</v>
      </c>
      <c r="N67" s="1" t="s">
        <v>484</v>
      </c>
      <c r="O67" s="15">
        <f>VLOOKUP(N67,Select!D:H,5,FALSE)</f>
        <v>14</v>
      </c>
    </row>
    <row r="68" spans="1:15">
      <c r="A68" s="13">
        <v>3509</v>
      </c>
      <c r="B68" s="5" t="s">
        <v>27</v>
      </c>
      <c r="C68" s="6">
        <f>VLOOKUP(B68,Select!A:H,8,FALSE)</f>
        <v>5</v>
      </c>
      <c r="D68" s="5" t="s">
        <v>30</v>
      </c>
      <c r="E68" s="6">
        <f>VLOOKUP(D68,Select!B:H,7,FALSE)</f>
        <v>3</v>
      </c>
      <c r="F68" s="5" t="s">
        <v>3</v>
      </c>
      <c r="G68" s="6">
        <f>VLOOKUP(F68,Select!C:H,6,FALSE)</f>
        <v>0</v>
      </c>
      <c r="H68" s="5" t="s">
        <v>425</v>
      </c>
      <c r="I68" s="5">
        <v>7</v>
      </c>
      <c r="J68" s="5">
        <v>5</v>
      </c>
      <c r="K68" s="5">
        <v>5</v>
      </c>
      <c r="L68" s="5"/>
      <c r="M68" s="5" t="b">
        <v>0</v>
      </c>
      <c r="N68" s="5" t="s">
        <v>477</v>
      </c>
      <c r="O68" s="15">
        <f>VLOOKUP(N68,Select!D:H,5,FALSE)</f>
        <v>0</v>
      </c>
    </row>
    <row r="69" spans="1:15">
      <c r="A69" s="14">
        <v>3510</v>
      </c>
      <c r="B69" s="1" t="s">
        <v>27</v>
      </c>
      <c r="C69" s="6">
        <f>VLOOKUP(B69,Select!A:H,8,FALSE)</f>
        <v>5</v>
      </c>
      <c r="D69" s="1" t="s">
        <v>30</v>
      </c>
      <c r="E69" s="6">
        <f>VLOOKUP(D69,Select!B:H,7,FALSE)</f>
        <v>3</v>
      </c>
      <c r="F69" s="1" t="s">
        <v>23</v>
      </c>
      <c r="G69" s="6">
        <f>VLOOKUP(F69,Select!C:H,6,FALSE)</f>
        <v>1</v>
      </c>
      <c r="H69" s="1" t="s">
        <v>426</v>
      </c>
      <c r="I69" s="1">
        <v>0</v>
      </c>
      <c r="J69" s="1"/>
      <c r="K69" s="1"/>
      <c r="L69" s="1"/>
      <c r="M69" s="1" t="b">
        <v>1</v>
      </c>
      <c r="N69" s="1" t="s">
        <v>477</v>
      </c>
      <c r="O69" s="15">
        <f>VLOOKUP(N69,Select!D:H,5,FALSE)</f>
        <v>0</v>
      </c>
    </row>
    <row r="70" spans="1:15">
      <c r="A70" s="13">
        <v>3511</v>
      </c>
      <c r="B70" s="5" t="s">
        <v>27</v>
      </c>
      <c r="C70" s="6">
        <f>VLOOKUP(B70,Select!A:H,8,FALSE)</f>
        <v>5</v>
      </c>
      <c r="D70" s="5" t="s">
        <v>30</v>
      </c>
      <c r="E70" s="6">
        <f>VLOOKUP(D70,Select!B:H,7,FALSE)</f>
        <v>3</v>
      </c>
      <c r="F70" s="5" t="s">
        <v>23</v>
      </c>
      <c r="G70" s="6">
        <f>VLOOKUP(F70,Select!C:H,6,FALSE)</f>
        <v>1</v>
      </c>
      <c r="H70" s="5" t="s">
        <v>427</v>
      </c>
      <c r="I70" s="5">
        <v>0</v>
      </c>
      <c r="J70" s="5"/>
      <c r="K70" s="5"/>
      <c r="L70" s="5"/>
      <c r="M70" s="5" t="b">
        <v>1</v>
      </c>
      <c r="N70" s="5" t="s">
        <v>477</v>
      </c>
      <c r="O70" s="15">
        <f>VLOOKUP(N70,Select!D:H,5,FALSE)</f>
        <v>0</v>
      </c>
    </row>
    <row r="71" spans="1:15">
      <c r="A71" s="14">
        <v>3600</v>
      </c>
      <c r="B71" s="1" t="s">
        <v>29</v>
      </c>
      <c r="C71" s="6">
        <f>VLOOKUP(B71,Select!A:H,8,FALSE)</f>
        <v>6</v>
      </c>
      <c r="D71" s="1" t="s">
        <v>10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1" t="s">
        <v>428</v>
      </c>
      <c r="I71" s="1">
        <v>2</v>
      </c>
      <c r="J71" s="1">
        <v>0</v>
      </c>
      <c r="K71" s="1">
        <v>4</v>
      </c>
      <c r="L71" s="1"/>
      <c r="M71" s="1" t="b">
        <v>0</v>
      </c>
      <c r="N71" s="1" t="s">
        <v>477</v>
      </c>
      <c r="O71" s="15">
        <f>VLOOKUP(N71,Select!D:H,5,FALSE)</f>
        <v>0</v>
      </c>
    </row>
    <row r="72" spans="1:15">
      <c r="A72" s="13">
        <v>3601</v>
      </c>
      <c r="B72" s="5" t="s">
        <v>29</v>
      </c>
      <c r="C72" s="6">
        <f>VLOOKUP(B72,Select!A:H,8,FALSE)</f>
        <v>6</v>
      </c>
      <c r="D72" s="5" t="s">
        <v>10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5" t="s">
        <v>429</v>
      </c>
      <c r="I72" s="5">
        <v>2</v>
      </c>
      <c r="J72" s="5">
        <v>2</v>
      </c>
      <c r="K72" s="5">
        <v>2</v>
      </c>
      <c r="L72" s="5"/>
      <c r="M72" s="5" t="b">
        <v>0</v>
      </c>
      <c r="N72" s="5" t="s">
        <v>477</v>
      </c>
      <c r="O72" s="15">
        <f>VLOOKUP(N72,Select!D:H,5,FALSE)</f>
        <v>0</v>
      </c>
    </row>
    <row r="73" spans="1:15">
      <c r="A73" s="14">
        <v>3602</v>
      </c>
      <c r="B73" s="1" t="s">
        <v>29</v>
      </c>
      <c r="C73" s="6">
        <f>VLOOKUP(B73,Select!A:H,8,FALSE)</f>
        <v>6</v>
      </c>
      <c r="D73" s="1" t="s">
        <v>10</v>
      </c>
      <c r="E73" s="6">
        <f>VLOOKUP(D73,Select!B:H,7,FALSE)</f>
        <v>0</v>
      </c>
      <c r="F73" s="1" t="s">
        <v>23</v>
      </c>
      <c r="G73" s="6">
        <f>VLOOKUP(F73,Select!C:H,6,FALSE)</f>
        <v>1</v>
      </c>
      <c r="H73" s="1" t="s">
        <v>430</v>
      </c>
      <c r="I73" s="1">
        <v>4</v>
      </c>
      <c r="J73" s="1"/>
      <c r="K73" s="1"/>
      <c r="L73" s="1"/>
      <c r="M73" s="1" t="b">
        <v>0</v>
      </c>
      <c r="N73" s="1" t="s">
        <v>477</v>
      </c>
      <c r="O73" s="15">
        <f>VLOOKUP(N73,Select!D:H,5,FALSE)</f>
        <v>0</v>
      </c>
    </row>
    <row r="74" spans="1:15">
      <c r="A74" s="13">
        <v>3603</v>
      </c>
      <c r="B74" s="5" t="s">
        <v>29</v>
      </c>
      <c r="C74" s="6">
        <f>VLOOKUP(B74,Select!A:H,8,FALSE)</f>
        <v>6</v>
      </c>
      <c r="D74" s="5" t="s">
        <v>36</v>
      </c>
      <c r="E74" s="6">
        <f>VLOOKUP(D74,Select!B:H,7,FALSE)</f>
        <v>1</v>
      </c>
      <c r="F74" s="5" t="s">
        <v>3</v>
      </c>
      <c r="G74" s="6">
        <f>VLOOKUP(F74,Select!C:H,6,FALSE)</f>
        <v>0</v>
      </c>
      <c r="H74" s="5" t="s">
        <v>431</v>
      </c>
      <c r="I74" s="5">
        <v>3</v>
      </c>
      <c r="J74" s="5">
        <v>1</v>
      </c>
      <c r="K74" s="5">
        <v>4</v>
      </c>
      <c r="L74" s="5"/>
      <c r="M74" s="5" t="b">
        <v>0</v>
      </c>
      <c r="N74" s="5" t="s">
        <v>477</v>
      </c>
      <c r="O74" s="15">
        <f>VLOOKUP(N74,Select!D:H,5,FALSE)</f>
        <v>0</v>
      </c>
    </row>
    <row r="75" spans="1:15">
      <c r="A75" s="14">
        <v>3604</v>
      </c>
      <c r="B75" s="1" t="s">
        <v>29</v>
      </c>
      <c r="C75" s="6">
        <f>VLOOKUP(B75,Select!A:H,8,FALSE)</f>
        <v>6</v>
      </c>
      <c r="D75" s="1" t="s">
        <v>36</v>
      </c>
      <c r="E75" s="6">
        <f>VLOOKUP(D75,Select!B:H,7,FALSE)</f>
        <v>1</v>
      </c>
      <c r="F75" s="1" t="s">
        <v>34</v>
      </c>
      <c r="G75" s="6">
        <f>VLOOKUP(F75,Select!C:H,6,FALSE)</f>
        <v>2</v>
      </c>
      <c r="H75" s="1" t="s">
        <v>432</v>
      </c>
      <c r="I75" s="1">
        <v>3</v>
      </c>
      <c r="J75" s="1"/>
      <c r="K75" s="1"/>
      <c r="L75" s="1"/>
      <c r="M75" s="1" t="b">
        <v>0</v>
      </c>
      <c r="N75" s="1" t="s">
        <v>477</v>
      </c>
      <c r="O75" s="15">
        <f>VLOOKUP(N75,Select!D:H,5,FALSE)</f>
        <v>0</v>
      </c>
    </row>
    <row r="76" spans="1:15">
      <c r="A76" s="13">
        <v>3605</v>
      </c>
      <c r="B76" s="5" t="s">
        <v>29</v>
      </c>
      <c r="C76" s="6">
        <f>VLOOKUP(B76,Select!A:H,8,FALSE)</f>
        <v>6</v>
      </c>
      <c r="D76" s="5" t="s">
        <v>36</v>
      </c>
      <c r="E76" s="6">
        <f>VLOOKUP(D76,Select!B:H,7,FALSE)</f>
        <v>1</v>
      </c>
      <c r="F76" s="5" t="s">
        <v>34</v>
      </c>
      <c r="G76" s="6">
        <f>VLOOKUP(F76,Select!C:H,6,FALSE)</f>
        <v>2</v>
      </c>
      <c r="H76" s="5" t="s">
        <v>433</v>
      </c>
      <c r="I76" s="5">
        <v>3</v>
      </c>
      <c r="J76" s="5"/>
      <c r="K76" s="5"/>
      <c r="L76" s="5"/>
      <c r="M76" s="5" t="b">
        <v>0</v>
      </c>
      <c r="N76" s="5" t="s">
        <v>477</v>
      </c>
      <c r="O76" s="15">
        <f>VLOOKUP(N76,Select!D:H,5,FALSE)</f>
        <v>0</v>
      </c>
    </row>
    <row r="77" spans="1:15">
      <c r="A77" s="14">
        <v>3606</v>
      </c>
      <c r="B77" s="1" t="s">
        <v>29</v>
      </c>
      <c r="C77" s="6">
        <f>VLOOKUP(B77,Select!A:H,8,FALSE)</f>
        <v>6</v>
      </c>
      <c r="D77" s="1" t="s">
        <v>21</v>
      </c>
      <c r="E77" s="6">
        <f>VLOOKUP(D77,Select!B:H,7,FALSE)</f>
        <v>2</v>
      </c>
      <c r="F77" s="1" t="s">
        <v>3</v>
      </c>
      <c r="G77" s="6">
        <f>VLOOKUP(F77,Select!C:H,6,FALSE)</f>
        <v>0</v>
      </c>
      <c r="H77" s="1" t="s">
        <v>434</v>
      </c>
      <c r="I77" s="1">
        <v>5</v>
      </c>
      <c r="J77" s="1">
        <v>2</v>
      </c>
      <c r="K77" s="1">
        <v>4</v>
      </c>
      <c r="L77" s="1"/>
      <c r="M77" s="1" t="b">
        <v>0</v>
      </c>
      <c r="N77" s="1" t="s">
        <v>477</v>
      </c>
      <c r="O77" s="15">
        <f>VLOOKUP(N77,Select!D:H,5,FALSE)</f>
        <v>0</v>
      </c>
    </row>
    <row r="78" spans="1:15">
      <c r="A78" s="13">
        <v>3607</v>
      </c>
      <c r="B78" s="5" t="s">
        <v>29</v>
      </c>
      <c r="C78" s="6">
        <f>VLOOKUP(B78,Select!A:H,8,FALSE)</f>
        <v>6</v>
      </c>
      <c r="D78" s="5" t="s">
        <v>21</v>
      </c>
      <c r="E78" s="6">
        <f>VLOOKUP(D78,Select!B:H,7,FALSE)</f>
        <v>2</v>
      </c>
      <c r="F78" s="5" t="s">
        <v>6</v>
      </c>
      <c r="G78" s="6">
        <f>VLOOKUP(F78,Select!C:H,6,FALSE)</f>
        <v>2</v>
      </c>
      <c r="H78" s="5" t="s">
        <v>435</v>
      </c>
      <c r="I78" s="5">
        <v>4</v>
      </c>
      <c r="J78" s="5"/>
      <c r="K78" s="5"/>
      <c r="L78" s="5"/>
      <c r="M78" s="5" t="b">
        <v>0</v>
      </c>
      <c r="N78" s="5" t="s">
        <v>477</v>
      </c>
      <c r="O78" s="15">
        <f>VLOOKUP(N78,Select!D:H,5,FALSE)</f>
        <v>0</v>
      </c>
    </row>
    <row r="79" spans="1:15">
      <c r="A79" s="14">
        <v>3608</v>
      </c>
      <c r="B79" s="1" t="s">
        <v>29</v>
      </c>
      <c r="C79" s="6">
        <f>VLOOKUP(B79,Select!A:H,8,FALSE)</f>
        <v>6</v>
      </c>
      <c r="D79" s="1" t="s">
        <v>30</v>
      </c>
      <c r="E79" s="6">
        <f>VLOOKUP(D79,Select!B:H,7,FALSE)</f>
        <v>3</v>
      </c>
      <c r="F79" s="1" t="s">
        <v>3</v>
      </c>
      <c r="G79" s="6">
        <f>VLOOKUP(F79,Select!C:H,6,FALSE)</f>
        <v>0</v>
      </c>
      <c r="H79" s="1" t="s">
        <v>436</v>
      </c>
      <c r="I79" s="1">
        <v>4</v>
      </c>
      <c r="J79" s="1">
        <v>4</v>
      </c>
      <c r="K79" s="1">
        <v>4</v>
      </c>
      <c r="L79" s="1"/>
      <c r="M79" s="1" t="b">
        <v>0</v>
      </c>
      <c r="N79" s="1" t="s">
        <v>477</v>
      </c>
      <c r="O79" s="15">
        <f>VLOOKUP(N79,Select!D:H,5,FALSE)</f>
        <v>0</v>
      </c>
    </row>
    <row r="80" spans="1:15">
      <c r="A80" s="13">
        <v>3609</v>
      </c>
      <c r="B80" s="5" t="s">
        <v>29</v>
      </c>
      <c r="C80" s="6">
        <f>VLOOKUP(B80,Select!A:H,8,FALSE)</f>
        <v>6</v>
      </c>
      <c r="D80" s="5" t="s">
        <v>30</v>
      </c>
      <c r="E80" s="6">
        <f>VLOOKUP(D80,Select!B:H,7,FALSE)</f>
        <v>3</v>
      </c>
      <c r="F80" s="5" t="s">
        <v>3</v>
      </c>
      <c r="G80" s="6">
        <f>VLOOKUP(F80,Select!C:H,6,FALSE)</f>
        <v>0</v>
      </c>
      <c r="H80" s="5" t="s">
        <v>437</v>
      </c>
      <c r="I80" s="5">
        <v>6</v>
      </c>
      <c r="J80" s="5">
        <v>0</v>
      </c>
      <c r="K80" s="5">
        <v>4</v>
      </c>
      <c r="L80" s="5"/>
      <c r="M80" s="5" t="b">
        <v>0</v>
      </c>
      <c r="N80" s="5" t="s">
        <v>477</v>
      </c>
      <c r="O80" s="15">
        <f>VLOOKUP(N80,Select!D:H,5,FALSE)</f>
        <v>0</v>
      </c>
    </row>
    <row r="81" spans="1:15">
      <c r="A81" s="14">
        <v>3610</v>
      </c>
      <c r="B81" s="1" t="s">
        <v>29</v>
      </c>
      <c r="C81" s="6">
        <f>VLOOKUP(B81,Select!A:H,8,FALSE)</f>
        <v>6</v>
      </c>
      <c r="D81" s="1" t="s">
        <v>30</v>
      </c>
      <c r="E81" s="6">
        <f>VLOOKUP(D81,Select!B:H,7,FALSE)</f>
        <v>3</v>
      </c>
      <c r="F81" s="1" t="s">
        <v>3</v>
      </c>
      <c r="G81" s="6">
        <f>VLOOKUP(F81,Select!C:H,6,FALSE)</f>
        <v>0</v>
      </c>
      <c r="H81" s="1" t="s">
        <v>438</v>
      </c>
      <c r="I81" s="1">
        <v>2</v>
      </c>
      <c r="J81" s="1"/>
      <c r="K81" s="1"/>
      <c r="L81" s="1"/>
      <c r="M81" s="1" t="b">
        <v>1</v>
      </c>
      <c r="N81" s="1" t="s">
        <v>477</v>
      </c>
      <c r="O81" s="15">
        <f>VLOOKUP(N81,Select!D:H,5,FALSE)</f>
        <v>0</v>
      </c>
    </row>
    <row r="82" spans="1:15">
      <c r="A82" s="13">
        <v>3700</v>
      </c>
      <c r="B82" s="5" t="s">
        <v>28</v>
      </c>
      <c r="C82" s="6">
        <f>VLOOKUP(B82,Select!A:H,8,FALSE)</f>
        <v>7</v>
      </c>
      <c r="D82" s="5" t="s">
        <v>10</v>
      </c>
      <c r="E82" s="6">
        <f>VLOOKUP(D82,Select!B:H,7,FALSE)</f>
        <v>0</v>
      </c>
      <c r="F82" s="5" t="s">
        <v>3</v>
      </c>
      <c r="G82" s="6">
        <f>VLOOKUP(F82,Select!C:H,6,FALSE)</f>
        <v>0</v>
      </c>
      <c r="H82" s="5" t="s">
        <v>439</v>
      </c>
      <c r="I82" s="5">
        <v>4</v>
      </c>
      <c r="J82" s="5">
        <v>4</v>
      </c>
      <c r="K82" s="5">
        <v>4</v>
      </c>
      <c r="L82" s="5"/>
      <c r="M82" s="5" t="b">
        <v>0</v>
      </c>
      <c r="N82" s="5" t="s">
        <v>477</v>
      </c>
      <c r="O82" s="15">
        <f>VLOOKUP(N82,Select!D:H,5,FALSE)</f>
        <v>0</v>
      </c>
    </row>
    <row r="83" spans="1:15">
      <c r="A83" s="14">
        <v>3701</v>
      </c>
      <c r="B83" s="1" t="s">
        <v>28</v>
      </c>
      <c r="C83" s="6">
        <f>VLOOKUP(B83,Select!A:H,8,FALSE)</f>
        <v>7</v>
      </c>
      <c r="D83" s="1" t="s">
        <v>10</v>
      </c>
      <c r="E83" s="6">
        <f>VLOOKUP(D83,Select!B:H,7,FALSE)</f>
        <v>0</v>
      </c>
      <c r="F83" s="1" t="s">
        <v>3</v>
      </c>
      <c r="G83" s="6">
        <f>VLOOKUP(F83,Select!C:H,6,FALSE)</f>
        <v>0</v>
      </c>
      <c r="H83" s="1" t="s">
        <v>440</v>
      </c>
      <c r="I83" s="1">
        <v>7</v>
      </c>
      <c r="J83" s="1">
        <v>3</v>
      </c>
      <c r="K83" s="1">
        <v>3</v>
      </c>
      <c r="L83" s="1"/>
      <c r="M83" s="1" t="b">
        <v>0</v>
      </c>
      <c r="N83" s="1" t="s">
        <v>477</v>
      </c>
      <c r="O83" s="15">
        <f>VLOOKUP(N83,Select!D:H,5,FALSE)</f>
        <v>0</v>
      </c>
    </row>
    <row r="84" spans="1:15">
      <c r="A84" s="13">
        <v>3702</v>
      </c>
      <c r="B84" s="5" t="s">
        <v>28</v>
      </c>
      <c r="C84" s="6">
        <f>VLOOKUP(B84,Select!A:H,8,FALSE)</f>
        <v>7</v>
      </c>
      <c r="D84" s="5" t="s">
        <v>10</v>
      </c>
      <c r="E84" s="6">
        <f>VLOOKUP(D84,Select!B:H,7,FALSE)</f>
        <v>0</v>
      </c>
      <c r="F84" s="5" t="s">
        <v>23</v>
      </c>
      <c r="G84" s="6">
        <f>VLOOKUP(F84,Select!C:H,6,FALSE)</f>
        <v>1</v>
      </c>
      <c r="H84" s="5" t="s">
        <v>441</v>
      </c>
      <c r="I84" s="5">
        <v>4</v>
      </c>
      <c r="J84" s="5"/>
      <c r="K84" s="5"/>
      <c r="L84" s="5"/>
      <c r="M84" s="5" t="b">
        <v>0</v>
      </c>
      <c r="N84" s="5" t="s">
        <v>477</v>
      </c>
      <c r="O84" s="15">
        <f>VLOOKUP(N84,Select!D:H,5,FALSE)</f>
        <v>0</v>
      </c>
    </row>
    <row r="85" spans="1:15">
      <c r="A85" s="14">
        <v>3703</v>
      </c>
      <c r="B85" s="1" t="s">
        <v>28</v>
      </c>
      <c r="C85" s="6">
        <f>VLOOKUP(B85,Select!A:H,8,FALSE)</f>
        <v>7</v>
      </c>
      <c r="D85" s="1" t="s">
        <v>36</v>
      </c>
      <c r="E85" s="6">
        <f>VLOOKUP(D85,Select!B:H,7,FALSE)</f>
        <v>1</v>
      </c>
      <c r="F85" s="1" t="s">
        <v>3</v>
      </c>
      <c r="G85" s="6">
        <f>VLOOKUP(F85,Select!C:H,6,FALSE)</f>
        <v>0</v>
      </c>
      <c r="H85" s="1" t="s">
        <v>442</v>
      </c>
      <c r="I85" s="1">
        <v>2</v>
      </c>
      <c r="J85" s="1">
        <v>2</v>
      </c>
      <c r="K85" s="1">
        <v>2</v>
      </c>
      <c r="L85" s="1"/>
      <c r="M85" s="1" t="b">
        <v>0</v>
      </c>
      <c r="N85" s="1" t="s">
        <v>477</v>
      </c>
      <c r="O85" s="15">
        <f>VLOOKUP(N85,Select!D:H,5,FALSE)</f>
        <v>0</v>
      </c>
    </row>
    <row r="86" spans="1:15">
      <c r="A86" s="13">
        <v>3704</v>
      </c>
      <c r="B86" s="5" t="s">
        <v>28</v>
      </c>
      <c r="C86" s="6">
        <f>VLOOKUP(B86,Select!A:H,8,FALSE)</f>
        <v>7</v>
      </c>
      <c r="D86" s="5" t="s">
        <v>36</v>
      </c>
      <c r="E86" s="6">
        <f>VLOOKUP(D86,Select!B:H,7,FALSE)</f>
        <v>1</v>
      </c>
      <c r="F86" s="5" t="s">
        <v>3</v>
      </c>
      <c r="G86" s="6">
        <f>VLOOKUP(F86,Select!C:H,6,FALSE)</f>
        <v>0</v>
      </c>
      <c r="H86" s="5" t="s">
        <v>443</v>
      </c>
      <c r="I86" s="5">
        <v>5</v>
      </c>
      <c r="J86" s="5">
        <v>3</v>
      </c>
      <c r="K86" s="5">
        <v>4</v>
      </c>
      <c r="L86" s="5"/>
      <c r="M86" s="5" t="b">
        <v>0</v>
      </c>
      <c r="N86" s="5" t="s">
        <v>477</v>
      </c>
      <c r="O86" s="15">
        <f>VLOOKUP(N86,Select!D:H,5,FALSE)</f>
        <v>0</v>
      </c>
    </row>
    <row r="87" spans="1:15">
      <c r="A87" s="14">
        <v>3705</v>
      </c>
      <c r="B87" s="1" t="s">
        <v>28</v>
      </c>
      <c r="C87" s="6">
        <f>VLOOKUP(B87,Select!A:H,8,FALSE)</f>
        <v>7</v>
      </c>
      <c r="D87" s="1" t="s">
        <v>36</v>
      </c>
      <c r="E87" s="6">
        <f>VLOOKUP(D87,Select!B:H,7,FALSE)</f>
        <v>1</v>
      </c>
      <c r="F87" s="1" t="s">
        <v>34</v>
      </c>
      <c r="G87" s="6">
        <f>VLOOKUP(F87,Select!C:H,6,FALSE)</f>
        <v>2</v>
      </c>
      <c r="H87" s="1" t="s">
        <v>444</v>
      </c>
      <c r="I87" s="1">
        <v>2</v>
      </c>
      <c r="J87" s="1"/>
      <c r="K87" s="1"/>
      <c r="L87" s="1"/>
      <c r="M87" s="1" t="b">
        <v>0</v>
      </c>
      <c r="N87" s="1" t="s">
        <v>477</v>
      </c>
      <c r="O87" s="15">
        <f>VLOOKUP(N87,Select!D:H,5,FALSE)</f>
        <v>0</v>
      </c>
    </row>
    <row r="88" spans="1:15">
      <c r="A88" s="13">
        <v>3706</v>
      </c>
      <c r="B88" s="5" t="s">
        <v>28</v>
      </c>
      <c r="C88" s="6">
        <f>VLOOKUP(B88,Select!A:H,8,FALSE)</f>
        <v>7</v>
      </c>
      <c r="D88" s="5" t="s">
        <v>21</v>
      </c>
      <c r="E88" s="6">
        <f>VLOOKUP(D88,Select!B:H,7,FALSE)</f>
        <v>2</v>
      </c>
      <c r="F88" s="5" t="s">
        <v>3</v>
      </c>
      <c r="G88" s="6">
        <f>VLOOKUP(F88,Select!C:H,6,FALSE)</f>
        <v>0</v>
      </c>
      <c r="H88" s="5" t="s">
        <v>445</v>
      </c>
      <c r="I88" s="5">
        <v>6</v>
      </c>
      <c r="J88" s="5">
        <v>3</v>
      </c>
      <c r="K88" s="5">
        <v>3</v>
      </c>
      <c r="L88" s="5"/>
      <c r="M88" s="5" t="b">
        <v>0</v>
      </c>
      <c r="N88" s="5" t="s">
        <v>477</v>
      </c>
      <c r="O88" s="15">
        <f>VLOOKUP(N88,Select!D:H,5,FALSE)</f>
        <v>0</v>
      </c>
    </row>
    <row r="89" spans="1:15">
      <c r="A89" s="14">
        <v>3707</v>
      </c>
      <c r="B89" s="1" t="s">
        <v>28</v>
      </c>
      <c r="C89" s="6">
        <f>VLOOKUP(B89,Select!A:H,8,FALSE)</f>
        <v>7</v>
      </c>
      <c r="D89" s="1" t="s">
        <v>21</v>
      </c>
      <c r="E89" s="6">
        <f>VLOOKUP(D89,Select!B:H,7,FALSE)</f>
        <v>2</v>
      </c>
      <c r="F89" s="1" t="s">
        <v>23</v>
      </c>
      <c r="G89" s="6">
        <f>VLOOKUP(F89,Select!C:H,6,FALSE)</f>
        <v>1</v>
      </c>
      <c r="H89" s="1" t="s">
        <v>446</v>
      </c>
      <c r="I89" s="1">
        <v>2</v>
      </c>
      <c r="J89" s="1"/>
      <c r="K89" s="1"/>
      <c r="L89" s="1"/>
      <c r="M89" s="1" t="b">
        <v>0</v>
      </c>
      <c r="N89" s="1" t="s">
        <v>477</v>
      </c>
      <c r="O89" s="15">
        <f>VLOOKUP(N89,Select!D:H,5,FALSE)</f>
        <v>0</v>
      </c>
    </row>
    <row r="90" spans="1:15">
      <c r="A90" s="13">
        <v>3708</v>
      </c>
      <c r="B90" s="5" t="s">
        <v>28</v>
      </c>
      <c r="C90" s="6">
        <f>VLOOKUP(B90,Select!A:H,8,FALSE)</f>
        <v>7</v>
      </c>
      <c r="D90" s="5" t="s">
        <v>30</v>
      </c>
      <c r="E90" s="6">
        <f>VLOOKUP(D90,Select!B:H,7,FALSE)</f>
        <v>3</v>
      </c>
      <c r="F90" s="5" t="s">
        <v>3</v>
      </c>
      <c r="G90" s="6">
        <f>VLOOKUP(F90,Select!C:H,6,FALSE)</f>
        <v>0</v>
      </c>
      <c r="H90" s="5" t="s">
        <v>447</v>
      </c>
      <c r="I90" s="5">
        <v>3</v>
      </c>
      <c r="J90" s="5">
        <v>2</v>
      </c>
      <c r="K90" s="5">
        <v>4</v>
      </c>
      <c r="L90" s="5"/>
      <c r="M90" s="5" t="b">
        <v>0</v>
      </c>
      <c r="N90" s="5" t="s">
        <v>477</v>
      </c>
      <c r="O90" s="15">
        <f>VLOOKUP(N90,Select!D:H,5,FALSE)</f>
        <v>0</v>
      </c>
    </row>
    <row r="91" spans="1:15">
      <c r="A91" s="14">
        <v>3709</v>
      </c>
      <c r="B91" s="1" t="s">
        <v>28</v>
      </c>
      <c r="C91" s="6">
        <f>VLOOKUP(B91,Select!A:H,8,FALSE)</f>
        <v>7</v>
      </c>
      <c r="D91" s="1" t="s">
        <v>30</v>
      </c>
      <c r="E91" s="6">
        <f>VLOOKUP(D91,Select!B:H,7,FALSE)</f>
        <v>3</v>
      </c>
      <c r="F91" s="1" t="s">
        <v>3</v>
      </c>
      <c r="G91" s="6">
        <f>VLOOKUP(F91,Select!C:H,6,FALSE)</f>
        <v>0</v>
      </c>
      <c r="H91" s="1" t="s">
        <v>448</v>
      </c>
      <c r="I91" s="1">
        <v>4</v>
      </c>
      <c r="J91" s="1">
        <v>2</v>
      </c>
      <c r="K91" s="1">
        <v>4</v>
      </c>
      <c r="L91" s="1"/>
      <c r="M91" s="1" t="b">
        <v>0</v>
      </c>
      <c r="N91" s="1" t="s">
        <v>477</v>
      </c>
      <c r="O91" s="15">
        <f>VLOOKUP(N91,Select!D:H,5,FALSE)</f>
        <v>0</v>
      </c>
    </row>
    <row r="92" spans="1:15">
      <c r="A92" s="13">
        <v>3710</v>
      </c>
      <c r="B92" s="5" t="s">
        <v>28</v>
      </c>
      <c r="C92" s="6">
        <f>VLOOKUP(B92,Select!A:H,8,FALSE)</f>
        <v>7</v>
      </c>
      <c r="D92" s="5" t="s">
        <v>30</v>
      </c>
      <c r="E92" s="6">
        <f>VLOOKUP(D92,Select!B:H,7,FALSE)</f>
        <v>3</v>
      </c>
      <c r="F92" s="5" t="s">
        <v>23</v>
      </c>
      <c r="G92" s="6">
        <f>VLOOKUP(F92,Select!C:H,6,FALSE)</f>
        <v>1</v>
      </c>
      <c r="H92" s="5" t="s">
        <v>449</v>
      </c>
      <c r="I92" s="5">
        <v>1</v>
      </c>
      <c r="J92" s="5"/>
      <c r="K92" s="5"/>
      <c r="L92" s="5"/>
      <c r="M92" s="5" t="b">
        <v>1</v>
      </c>
      <c r="N92" s="5" t="s">
        <v>477</v>
      </c>
      <c r="O92" s="15">
        <f>VLOOKUP(N92,Select!D:H,5,FALSE)</f>
        <v>0</v>
      </c>
    </row>
    <row r="93" spans="1:15">
      <c r="A93" s="14">
        <v>3711</v>
      </c>
      <c r="B93" s="1" t="s">
        <v>28</v>
      </c>
      <c r="C93" s="6">
        <f>VLOOKUP(B93,Select!A:H,8,FALSE)</f>
        <v>7</v>
      </c>
      <c r="D93" s="1" t="s">
        <v>30</v>
      </c>
      <c r="E93" s="6">
        <f>VLOOKUP(D93,Select!B:H,7,FALSE)</f>
        <v>3</v>
      </c>
      <c r="F93" s="1" t="s">
        <v>34</v>
      </c>
      <c r="G93" s="6">
        <f>VLOOKUP(F93,Select!C:H,6,FALSE)</f>
        <v>2</v>
      </c>
      <c r="H93" s="1" t="s">
        <v>450</v>
      </c>
      <c r="I93" s="1">
        <v>3</v>
      </c>
      <c r="J93" s="1"/>
      <c r="K93" s="1"/>
      <c r="L93" s="1"/>
      <c r="M93" s="1" t="b">
        <v>1</v>
      </c>
      <c r="N93" s="1" t="s">
        <v>477</v>
      </c>
      <c r="O93" s="15">
        <f>VLOOKUP(N93,Select!D:H,5,FALSE)</f>
        <v>0</v>
      </c>
    </row>
    <row r="94" spans="1:15">
      <c r="A94" s="22">
        <v>3712</v>
      </c>
      <c r="B94" s="19" t="s">
        <v>28</v>
      </c>
      <c r="C94" s="9">
        <f>VLOOKUP(B94,Select!A:H,8,FALSE)</f>
        <v>7</v>
      </c>
      <c r="D94" s="19" t="s">
        <v>30</v>
      </c>
      <c r="E94" s="9">
        <f>VLOOKUP(D94,Select!B:H,7,FALSE)</f>
        <v>3</v>
      </c>
      <c r="F94" s="19" t="s">
        <v>34</v>
      </c>
      <c r="G94" s="9">
        <f>VLOOKUP(F94,Select!C:H,6,FALSE)</f>
        <v>2</v>
      </c>
      <c r="H94" s="19" t="s">
        <v>451</v>
      </c>
      <c r="I94" s="19">
        <v>3</v>
      </c>
      <c r="J94" s="19"/>
      <c r="K94" s="19"/>
      <c r="L94" s="19"/>
      <c r="M94" s="19" t="b">
        <v>1</v>
      </c>
      <c r="N94" s="19" t="s">
        <v>477</v>
      </c>
      <c r="O94" s="20">
        <f>VLOOKUP(N94,Select!D:H,5,FALSE)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E087502F-4643-41F9-A304-9F0AEDF09D8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3E79588A-D094-4B5E-9DB7-CFD599BD898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00367D6-31B4-47C8-AA10-19CBD9CD1DB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44D95E2-2D20-495E-8891-324A89BC3F6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F1FA898-A53D-4C1E-AC15-63B47E215D56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0AAC71D-9379-49AF-A416-878B9E6FDD8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7CE29D0-80BB-4F36-B4BD-F1CCBF8C0D76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ED168F5C-3D94-4730-9E7F-4E14713DBEFC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B1:B94</xm:sqref>
        </x14:conditionalFormatting>
        <x14:conditionalFormatting xmlns:xm="http://schemas.microsoft.com/office/excel/2006/main">
          <x14:cfRule type="containsText" priority="1" operator="containsText" id="{CC2BFADA-88ED-4A6E-AD5F-0AAD79BEE2C1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A06A1A58-739D-4377-90A5-D5EF0A78665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B2:B94</xm:sqref>
        </x14:conditionalFormatting>
        <x14:conditionalFormatting xmlns:xm="http://schemas.microsoft.com/office/excel/2006/main">
          <x14:cfRule type="containsText" priority="6" operator="containsText" id="{9273929E-A757-44BD-A176-2B092F2B3FE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0B8EF94B-3036-4FB8-AD12-DA90A445CDA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A822D9-BCF6-4A2C-8ECE-66C083BE8B2B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CE219445-F3FF-46A5-BA99-E8EE3ADFA1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D1:D94</xm:sqref>
        </x14:conditionalFormatting>
        <x14:conditionalFormatting xmlns:xm="http://schemas.microsoft.com/office/excel/2006/main">
          <x14:cfRule type="containsText" priority="3" operator="containsText" id="{1EDA72E8-395E-4E1B-B227-8A369CDF7C03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C2F1E5D0-B14D-45FA-805A-1089EB728D8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9C169E90-1185-4A67-BFB2-323613BF9C71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F1:F94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C0F055F-9F6F-4F7E-8C0B-208497264678}">
          <x14:formula1>
            <xm:f>Select!$A:$A</xm:f>
          </x14:formula1>
          <xm:sqref>B2:B94</xm:sqref>
        </x14:dataValidation>
        <x14:dataValidation type="list" allowBlank="1" showInputMessage="1" showErrorMessage="1" xr:uid="{77045AF9-F84E-4EC8-B261-8AF2F4D10C1C}">
          <x14:formula1>
            <xm:f>Select!$B:$B</xm:f>
          </x14:formula1>
          <xm:sqref>D2:D94</xm:sqref>
        </x14:dataValidation>
        <x14:dataValidation type="list" allowBlank="1" showInputMessage="1" showErrorMessage="1" xr:uid="{9D1E0FF5-8FD5-4C76-B266-AC0F2F31F22C}">
          <x14:formula1>
            <xm:f>Select!$C:$C</xm:f>
          </x14:formula1>
          <xm:sqref>F2:F94</xm:sqref>
        </x14:dataValidation>
        <x14:dataValidation type="list" allowBlank="1" showInputMessage="1" showErrorMessage="1" xr:uid="{5A31E87D-3888-423D-8EA5-BB0EDBFA2221}">
          <x14:formula1>
            <xm:f>Select!$D:$D</xm:f>
          </x14:formula1>
          <xm:sqref>N2:N94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1983-560F-484A-99E1-4CF26D28FCB5}">
  <dimension ref="A1:O5"/>
  <sheetViews>
    <sheetView tabSelected="1" zoomScaleNormal="100" workbookViewId="0">
      <selection activeCell="O12" sqref="O12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6" t="s">
        <v>1494</v>
      </c>
      <c r="B1" s="17" t="s">
        <v>293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7</v>
      </c>
      <c r="I1" s="17" t="s">
        <v>8</v>
      </c>
      <c r="J1" s="17" t="s">
        <v>9</v>
      </c>
      <c r="K1" s="17" t="s">
        <v>299</v>
      </c>
      <c r="L1" s="17" t="s">
        <v>1493</v>
      </c>
      <c r="M1" s="17" t="s">
        <v>301</v>
      </c>
      <c r="N1" s="17" t="s">
        <v>475</v>
      </c>
      <c r="O1" s="18" t="s">
        <v>476</v>
      </c>
    </row>
    <row r="2" spans="1:15">
      <c r="A2" s="13">
        <v>-1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15">
        <f>VLOOKUP(N2,Select!D:H,5,FALSE)</f>
        <v>0</v>
      </c>
    </row>
    <row r="3" spans="1:15">
      <c r="A3" s="13">
        <v>-1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15">
        <f>VLOOKUP(N3,Select!D:H,5,FALSE)</f>
        <v>0</v>
      </c>
    </row>
    <row r="4" spans="1:15">
      <c r="A4" s="13">
        <v>-1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15">
        <f>VLOOKUP(N4,Select!D:H,5,FALSE)</f>
        <v>0</v>
      </c>
    </row>
    <row r="5" spans="1:15">
      <c r="A5" s="22">
        <v>-1</v>
      </c>
      <c r="B5" s="19" t="s">
        <v>1</v>
      </c>
      <c r="C5" s="9">
        <f>VLOOKUP(B5,Select!A:H,8,FALSE)</f>
        <v>0</v>
      </c>
      <c r="D5" s="19" t="s">
        <v>10</v>
      </c>
      <c r="E5" s="9">
        <f>VLOOKUP(D5,Select!B:H,7,FALSE)</f>
        <v>0</v>
      </c>
      <c r="F5" s="19" t="s">
        <v>3</v>
      </c>
      <c r="G5" s="9">
        <f>VLOOKUP(F5,Select!C:H,6,FALSE)</f>
        <v>0</v>
      </c>
      <c r="H5" s="8"/>
      <c r="I5" s="8"/>
      <c r="J5" s="8"/>
      <c r="K5" s="8"/>
      <c r="L5" s="8"/>
      <c r="M5" s="8"/>
      <c r="N5" s="19" t="s">
        <v>477</v>
      </c>
      <c r="O5" s="20">
        <f>VLOOKUP(N5,Select!D:H,5,FALSE)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4B656612-DCD9-4EDB-80AF-C919A2941549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61DAEF11-7CE9-444D-AF5F-316F901A3BA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9D82ACFA-D2D5-4E0F-85DC-87BDAD3F89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6D01964-DD22-47AB-9E4B-BA5A93CBF6C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313070ED-4380-44BB-978C-4E3778EADE33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689EB93-7D0D-468B-8751-84D56A9DC72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9B30A62-580C-481F-8DFF-653385E53042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D8DFDD61-2548-422E-86CE-8CC510D2F8E5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B1:B5</xm:sqref>
        </x14:conditionalFormatting>
        <x14:conditionalFormatting xmlns:xm="http://schemas.microsoft.com/office/excel/2006/main">
          <x14:cfRule type="containsText" priority="1" operator="containsText" id="{E43B108C-D26D-4351-9C19-882202D0FCB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34F5EC5-0B62-4DAD-9B29-02D2618CC872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9926407A-9920-4684-BCE1-C9B3F514666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E69DE862-21BF-4A6E-8BA3-6F10D21D33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D8E5A7EB-5960-4FB0-8497-B56173728E91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6C1BB24-885C-491C-AD6D-D5F0C7BCD298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D1:D5</xm:sqref>
        </x14:conditionalFormatting>
        <x14:conditionalFormatting xmlns:xm="http://schemas.microsoft.com/office/excel/2006/main">
          <x14:cfRule type="containsText" priority="3" operator="containsText" id="{E1D4E80E-F448-4CC7-A0AF-D34B89633C5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FDC612C3-51B0-44AE-9F5B-04B62863D5F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85594639-5BC7-4958-AC9F-D0508D42EFE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6310E25-E33E-4098-A731-BE2C96D63CE5}">
          <x14:formula1>
            <xm:f>Select!$D:$D</xm:f>
          </x14:formula1>
          <xm:sqref>N2:N5</xm:sqref>
        </x14:dataValidation>
        <x14:dataValidation type="list" allowBlank="1" showInputMessage="1" showErrorMessage="1" xr:uid="{D9506FEB-2CF7-4363-9D9E-3688BA50A9B0}">
          <x14:formula1>
            <xm:f>Select!$C:$C</xm:f>
          </x14:formula1>
          <xm:sqref>F2:F5</xm:sqref>
        </x14:dataValidation>
        <x14:dataValidation type="list" allowBlank="1" showInputMessage="1" showErrorMessage="1" xr:uid="{64C94F14-5AFD-4D16-B0D1-2E009CF5EE31}">
          <x14:formula1>
            <xm:f>Select!$B:$B</xm:f>
          </x14:formula1>
          <xm:sqref>D2:D5</xm:sqref>
        </x14:dataValidation>
        <x14:dataValidation type="list" allowBlank="1" showInputMessage="1" showErrorMessage="1" xr:uid="{D4EF6AA8-4F9C-4D29-8DE6-53C21E6BB830}">
          <x14:formula1>
            <xm:f>Select!$A:$A</xm:f>
          </x14:formula1>
          <xm:sqref>B2:B5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DE4B0-A129-45DD-BDB3-DE66359F14F7}">
  <dimension ref="A1:O113"/>
  <sheetViews>
    <sheetView workbookViewId="0">
      <selection activeCell="R7" sqref="R7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6" t="s">
        <v>292</v>
      </c>
      <c r="B1" s="17" t="s">
        <v>293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7</v>
      </c>
      <c r="I1" s="17" t="s">
        <v>8</v>
      </c>
      <c r="J1" s="17" t="s">
        <v>9</v>
      </c>
      <c r="K1" s="17" t="s">
        <v>299</v>
      </c>
      <c r="L1" s="17" t="s">
        <v>1493</v>
      </c>
      <c r="M1" s="17" t="s">
        <v>301</v>
      </c>
      <c r="N1" s="17" t="s">
        <v>475</v>
      </c>
      <c r="O1" s="18" t="s">
        <v>476</v>
      </c>
    </row>
    <row r="2" spans="1:15">
      <c r="A2" s="23">
        <v>100000</v>
      </c>
      <c r="B2" s="1" t="s">
        <v>1</v>
      </c>
      <c r="C2" s="6">
        <f>VLOOKUP(B2,Select!A:H,8,FALSE)</f>
        <v>0</v>
      </c>
      <c r="D2" s="1" t="s">
        <v>10</v>
      </c>
      <c r="E2" s="6">
        <f>VLOOKUP(D2,Select!B:H,7,FALSE)</f>
        <v>0</v>
      </c>
      <c r="F2" s="1" t="s">
        <v>3</v>
      </c>
      <c r="G2" s="6">
        <f>VLOOKUP(F2,Select!C:H,6,FALSE)</f>
        <v>0</v>
      </c>
      <c r="H2" s="24" t="s">
        <v>262</v>
      </c>
      <c r="I2" s="24">
        <v>1</v>
      </c>
      <c r="J2" s="24">
        <v>1</v>
      </c>
      <c r="K2" s="24">
        <v>2</v>
      </c>
      <c r="L2" s="24"/>
      <c r="M2" s="24" t="b">
        <v>0</v>
      </c>
      <c r="N2" s="24" t="s">
        <v>477</v>
      </c>
      <c r="O2" s="15">
        <f>VLOOKUP(N2,Select!D:H,5,FALSE)</f>
        <v>0</v>
      </c>
    </row>
    <row r="3" spans="1:15">
      <c r="A3" s="23">
        <v>100001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24" t="s">
        <v>452</v>
      </c>
      <c r="I3" s="24">
        <v>2</v>
      </c>
      <c r="J3" s="24">
        <v>2</v>
      </c>
      <c r="K3" s="24">
        <v>2</v>
      </c>
      <c r="L3" s="24"/>
      <c r="M3" s="24" t="b">
        <v>0</v>
      </c>
      <c r="N3" s="24" t="s">
        <v>477</v>
      </c>
      <c r="O3" s="15">
        <f>VLOOKUP(N3,Select!D:H,5,FALSE)</f>
        <v>0</v>
      </c>
    </row>
    <row r="4" spans="1:15">
      <c r="A4" s="23">
        <v>100002</v>
      </c>
      <c r="B4" s="1" t="s">
        <v>1</v>
      </c>
      <c r="C4" s="6">
        <f>VLOOKUP(B4,Select!A:H,8,FALSE)</f>
        <v>0</v>
      </c>
      <c r="D4" s="1" t="s">
        <v>10</v>
      </c>
      <c r="E4" s="6">
        <f>VLOOKUP(D4,Select!B:H,7,FALSE)</f>
        <v>0</v>
      </c>
      <c r="F4" s="1" t="s">
        <v>3</v>
      </c>
      <c r="G4" s="6">
        <f>VLOOKUP(F4,Select!C:H,6,FALSE)</f>
        <v>0</v>
      </c>
      <c r="H4" s="24" t="s">
        <v>453</v>
      </c>
      <c r="I4" s="24">
        <v>3</v>
      </c>
      <c r="J4" s="24">
        <v>3</v>
      </c>
      <c r="K4" s="24">
        <v>2</v>
      </c>
      <c r="L4" s="24"/>
      <c r="M4" s="24" t="b">
        <v>0</v>
      </c>
      <c r="N4" s="24" t="s">
        <v>477</v>
      </c>
      <c r="O4" s="15">
        <f>VLOOKUP(N4,Select!D:H,5,FALSE)</f>
        <v>0</v>
      </c>
    </row>
    <row r="5" spans="1:15">
      <c r="A5" s="23">
        <v>100003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24" t="s">
        <v>454</v>
      </c>
      <c r="I5" s="24">
        <v>4</v>
      </c>
      <c r="J5" s="24">
        <v>3</v>
      </c>
      <c r="K5" s="24">
        <v>4</v>
      </c>
      <c r="L5" s="24"/>
      <c r="M5" s="24" t="b">
        <v>0</v>
      </c>
      <c r="N5" s="24" t="s">
        <v>477</v>
      </c>
      <c r="O5" s="15">
        <f>VLOOKUP(N5,Select!D:H,5,FALSE)</f>
        <v>0</v>
      </c>
    </row>
    <row r="6" spans="1:15">
      <c r="A6" s="23">
        <v>100004</v>
      </c>
      <c r="B6" s="1" t="s">
        <v>1</v>
      </c>
      <c r="C6" s="6">
        <f>VLOOKUP(B6,Select!A:H,8,FALSE)</f>
        <v>0</v>
      </c>
      <c r="D6" s="1" t="s">
        <v>10</v>
      </c>
      <c r="E6" s="6">
        <f>VLOOKUP(D6,Select!B:H,7,FALSE)</f>
        <v>0</v>
      </c>
      <c r="F6" s="1" t="s">
        <v>3</v>
      </c>
      <c r="G6" s="6">
        <f>VLOOKUP(F6,Select!C:H,6,FALSE)</f>
        <v>0</v>
      </c>
      <c r="H6" s="24" t="s">
        <v>455</v>
      </c>
      <c r="I6" s="24">
        <v>5</v>
      </c>
      <c r="J6" s="24">
        <v>2</v>
      </c>
      <c r="K6" s="24">
        <v>6</v>
      </c>
      <c r="L6" s="24"/>
      <c r="M6" s="24" t="b">
        <v>0</v>
      </c>
      <c r="N6" s="24" t="s">
        <v>477</v>
      </c>
      <c r="O6" s="15">
        <f>VLOOKUP(N6,Select!D:H,5,FALSE)</f>
        <v>0</v>
      </c>
    </row>
    <row r="7" spans="1:15">
      <c r="A7" s="23">
        <v>100005</v>
      </c>
      <c r="B7" s="5" t="s">
        <v>1</v>
      </c>
      <c r="C7" s="6">
        <f>VLOOKUP(B7,Select!A:H,8,FALSE)</f>
        <v>0</v>
      </c>
      <c r="D7" s="5" t="s">
        <v>10</v>
      </c>
      <c r="E7" s="6">
        <f>VLOOKUP(D7,Select!B:H,7,FALSE)</f>
        <v>0</v>
      </c>
      <c r="F7" s="5" t="s">
        <v>6</v>
      </c>
      <c r="G7" s="6">
        <f>VLOOKUP(F7,Select!C:H,6,FALSE)</f>
        <v>2</v>
      </c>
      <c r="H7" s="24" t="s">
        <v>456</v>
      </c>
      <c r="I7" s="24">
        <v>2</v>
      </c>
      <c r="J7" s="24"/>
      <c r="K7" s="24"/>
      <c r="L7" s="24"/>
      <c r="M7" s="24" t="b">
        <v>0</v>
      </c>
      <c r="N7" s="24" t="s">
        <v>477</v>
      </c>
      <c r="O7" s="15">
        <f>VLOOKUP(N7,Select!D:H,5,FALSE)</f>
        <v>0</v>
      </c>
    </row>
    <row r="8" spans="1:15">
      <c r="A8" s="23">
        <v>100006</v>
      </c>
      <c r="B8" s="1" t="s">
        <v>1</v>
      </c>
      <c r="C8" s="6">
        <f>VLOOKUP(B8,Select!A:H,8,FALSE)</f>
        <v>0</v>
      </c>
      <c r="D8" s="1" t="s">
        <v>21</v>
      </c>
      <c r="E8" s="6">
        <f>VLOOKUP(D8,Select!B:H,7,FALSE)</f>
        <v>2</v>
      </c>
      <c r="F8" s="1" t="s">
        <v>3</v>
      </c>
      <c r="G8" s="6">
        <f>VLOOKUP(F8,Select!C:H,6,FALSE)</f>
        <v>0</v>
      </c>
      <c r="H8" s="24" t="s">
        <v>457</v>
      </c>
      <c r="I8" s="24">
        <v>3</v>
      </c>
      <c r="J8" s="24">
        <v>2</v>
      </c>
      <c r="K8" s="24">
        <v>1</v>
      </c>
      <c r="L8" s="24"/>
      <c r="M8" s="24" t="b">
        <v>0</v>
      </c>
      <c r="N8" s="24" t="s">
        <v>477</v>
      </c>
      <c r="O8" s="15">
        <f>VLOOKUP(N8,Select!D:H,5,FALSE)</f>
        <v>0</v>
      </c>
    </row>
    <row r="9" spans="1:15">
      <c r="A9" s="23">
        <v>100007</v>
      </c>
      <c r="B9" s="5" t="s">
        <v>1</v>
      </c>
      <c r="C9" s="6">
        <f>VLOOKUP(B9,Select!A:H,8,FALSE)</f>
        <v>0</v>
      </c>
      <c r="D9" s="5" t="s">
        <v>21</v>
      </c>
      <c r="E9" s="6">
        <f>VLOOKUP(D9,Select!B:H,7,FALSE)</f>
        <v>2</v>
      </c>
      <c r="F9" s="5" t="s">
        <v>3</v>
      </c>
      <c r="G9" s="6">
        <f>VLOOKUP(F9,Select!C:H,6,FALSE)</f>
        <v>0</v>
      </c>
      <c r="H9" s="24" t="s">
        <v>458</v>
      </c>
      <c r="I9" s="24">
        <v>3</v>
      </c>
      <c r="J9" s="24">
        <v>1</v>
      </c>
      <c r="K9" s="24">
        <v>2</v>
      </c>
      <c r="L9" s="24"/>
      <c r="M9" s="24" t="b">
        <v>0</v>
      </c>
      <c r="N9" s="24" t="s">
        <v>477</v>
      </c>
      <c r="O9" s="15">
        <f>VLOOKUP(N9,Select!D:H,5,FALSE)</f>
        <v>0</v>
      </c>
    </row>
    <row r="10" spans="1:15">
      <c r="A10" s="23">
        <v>100008</v>
      </c>
      <c r="B10" s="1" t="s">
        <v>1</v>
      </c>
      <c r="C10" s="6">
        <f>VLOOKUP(B10,Select!A:H,8,FALSE)</f>
        <v>0</v>
      </c>
      <c r="D10" s="1" t="s">
        <v>30</v>
      </c>
      <c r="E10" s="6">
        <f>VLOOKUP(D10,Select!B:H,7,FALSE)</f>
        <v>3</v>
      </c>
      <c r="F10" s="1" t="s">
        <v>3</v>
      </c>
      <c r="G10" s="6">
        <f>VLOOKUP(F10,Select!C:H,6,FALSE)</f>
        <v>0</v>
      </c>
      <c r="H10" s="24" t="s">
        <v>459</v>
      </c>
      <c r="I10" s="24">
        <v>7</v>
      </c>
      <c r="J10" s="24">
        <v>7</v>
      </c>
      <c r="K10" s="24">
        <v>7</v>
      </c>
      <c r="L10" s="24"/>
      <c r="M10" s="24" t="b">
        <v>1</v>
      </c>
      <c r="N10" s="24" t="s">
        <v>477</v>
      </c>
      <c r="O10" s="15">
        <f>VLOOKUP(N10,Select!D:H,5,FALSE)</f>
        <v>0</v>
      </c>
    </row>
    <row r="11" spans="1:15">
      <c r="A11" s="23">
        <v>100100</v>
      </c>
      <c r="B11" s="5" t="s">
        <v>24</v>
      </c>
      <c r="C11" s="6">
        <f>VLOOKUP(B11,Select!A:H,8,FALSE)</f>
        <v>1</v>
      </c>
      <c r="D11" s="5" t="s">
        <v>10</v>
      </c>
      <c r="E11" s="6">
        <f>VLOOKUP(D11,Select!B:H,7,FALSE)</f>
        <v>0</v>
      </c>
      <c r="F11" s="5" t="s">
        <v>3</v>
      </c>
      <c r="G11" s="6">
        <f>VLOOKUP(F11,Select!C:H,6,FALSE)</f>
        <v>0</v>
      </c>
      <c r="H11" s="24" t="s">
        <v>486</v>
      </c>
      <c r="I11" s="24">
        <v>1</v>
      </c>
      <c r="J11" s="24">
        <v>1</v>
      </c>
      <c r="K11" s="24">
        <v>1</v>
      </c>
      <c r="L11" s="24"/>
      <c r="M11" s="24" t="b">
        <v>0</v>
      </c>
      <c r="N11" s="24" t="s">
        <v>477</v>
      </c>
      <c r="O11" s="15">
        <f>VLOOKUP(N11,Select!D:H,5,FALSE)</f>
        <v>0</v>
      </c>
    </row>
    <row r="12" spans="1:15">
      <c r="A12" s="23">
        <v>100101</v>
      </c>
      <c r="B12" s="1" t="s">
        <v>24</v>
      </c>
      <c r="C12" s="6">
        <f>VLOOKUP(B12,Select!A:H,8,FALSE)</f>
        <v>1</v>
      </c>
      <c r="D12" s="1" t="s">
        <v>10</v>
      </c>
      <c r="E12" s="6">
        <f>VLOOKUP(D12,Select!B:H,7,FALSE)</f>
        <v>0</v>
      </c>
      <c r="F12" s="1" t="s">
        <v>3</v>
      </c>
      <c r="G12" s="6">
        <f>VLOOKUP(F12,Select!C:H,6,FALSE)</f>
        <v>0</v>
      </c>
      <c r="H12" s="24" t="s">
        <v>487</v>
      </c>
      <c r="I12" s="24">
        <v>2</v>
      </c>
      <c r="J12" s="24">
        <v>1</v>
      </c>
      <c r="K12" s="24">
        <v>1</v>
      </c>
      <c r="L12" s="24"/>
      <c r="M12" s="24" t="b">
        <v>0</v>
      </c>
      <c r="N12" s="24" t="s">
        <v>477</v>
      </c>
      <c r="O12" s="15">
        <f>VLOOKUP(N12,Select!D:H,5,FALSE)</f>
        <v>0</v>
      </c>
    </row>
    <row r="13" spans="1:15">
      <c r="A13" s="23">
        <v>100102</v>
      </c>
      <c r="B13" s="5" t="s">
        <v>24</v>
      </c>
      <c r="C13" s="6">
        <f>VLOOKUP(B13,Select!A:H,8,FALSE)</f>
        <v>1</v>
      </c>
      <c r="D13" s="5" t="s">
        <v>10</v>
      </c>
      <c r="E13" s="6">
        <f>VLOOKUP(D13,Select!B:H,7,FALSE)</f>
        <v>0</v>
      </c>
      <c r="F13" s="5" t="s">
        <v>3</v>
      </c>
      <c r="G13" s="6">
        <f>VLOOKUP(F13,Select!C:H,6,FALSE)</f>
        <v>0</v>
      </c>
      <c r="H13" s="24" t="s">
        <v>488</v>
      </c>
      <c r="I13" s="24">
        <v>2</v>
      </c>
      <c r="J13" s="24">
        <v>1</v>
      </c>
      <c r="K13" s="24">
        <v>3</v>
      </c>
      <c r="L13" s="24"/>
      <c r="M13" s="24" t="b">
        <v>0</v>
      </c>
      <c r="N13" s="24" t="s">
        <v>477</v>
      </c>
      <c r="O13" s="15">
        <f>VLOOKUP(N13,Select!D:H,5,FALSE)</f>
        <v>0</v>
      </c>
    </row>
    <row r="14" spans="1:15">
      <c r="A14" s="23">
        <v>100103</v>
      </c>
      <c r="B14" s="1" t="s">
        <v>24</v>
      </c>
      <c r="C14" s="6">
        <f>VLOOKUP(B14,Select!A:H,8,FALSE)</f>
        <v>1</v>
      </c>
      <c r="D14" s="1" t="s">
        <v>10</v>
      </c>
      <c r="E14" s="6">
        <f>VLOOKUP(D14,Select!B:H,7,FALSE)</f>
        <v>0</v>
      </c>
      <c r="F14" s="1" t="s">
        <v>3</v>
      </c>
      <c r="G14" s="6">
        <f>VLOOKUP(F14,Select!C:H,6,FALSE)</f>
        <v>0</v>
      </c>
      <c r="H14" s="24" t="s">
        <v>489</v>
      </c>
      <c r="I14" s="24">
        <v>3</v>
      </c>
      <c r="J14" s="24">
        <v>2</v>
      </c>
      <c r="K14" s="24">
        <v>3</v>
      </c>
      <c r="L14" s="24"/>
      <c r="M14" s="24" t="b">
        <v>0</v>
      </c>
      <c r="N14" s="24" t="s">
        <v>477</v>
      </c>
      <c r="O14" s="15">
        <f>VLOOKUP(N14,Select!D:H,5,FALSE)</f>
        <v>0</v>
      </c>
    </row>
    <row r="15" spans="1:15">
      <c r="A15" s="23">
        <v>100104</v>
      </c>
      <c r="B15" s="5" t="s">
        <v>24</v>
      </c>
      <c r="C15" s="6">
        <f>VLOOKUP(B15,Select!A:H,8,FALSE)</f>
        <v>1</v>
      </c>
      <c r="D15" s="5" t="s">
        <v>10</v>
      </c>
      <c r="E15" s="6">
        <f>VLOOKUP(D15,Select!B:H,7,FALSE)</f>
        <v>0</v>
      </c>
      <c r="F15" s="5" t="s">
        <v>3</v>
      </c>
      <c r="G15" s="6">
        <f>VLOOKUP(F15,Select!C:H,6,FALSE)</f>
        <v>0</v>
      </c>
      <c r="H15" s="24" t="s">
        <v>490</v>
      </c>
      <c r="I15" s="24">
        <v>4</v>
      </c>
      <c r="J15" s="24">
        <v>3</v>
      </c>
      <c r="K15" s="24">
        <v>4</v>
      </c>
      <c r="L15" s="24"/>
      <c r="M15" s="24" t="b">
        <v>0</v>
      </c>
      <c r="N15" s="24" t="s">
        <v>477</v>
      </c>
      <c r="O15" s="15">
        <f>VLOOKUP(N15,Select!D:H,5,FALSE)</f>
        <v>0</v>
      </c>
    </row>
    <row r="16" spans="1:15">
      <c r="A16" s="23">
        <v>100105</v>
      </c>
      <c r="B16" s="1" t="s">
        <v>24</v>
      </c>
      <c r="C16" s="6">
        <f>VLOOKUP(B16,Select!A:H,8,FALSE)</f>
        <v>1</v>
      </c>
      <c r="D16" s="1" t="s">
        <v>10</v>
      </c>
      <c r="E16" s="6">
        <f>VLOOKUP(D16,Select!B:H,7,FALSE)</f>
        <v>0</v>
      </c>
      <c r="F16" s="1" t="s">
        <v>3</v>
      </c>
      <c r="G16" s="6">
        <f>VLOOKUP(F16,Select!C:H,6,FALSE)</f>
        <v>0</v>
      </c>
      <c r="H16" s="24" t="s">
        <v>491</v>
      </c>
      <c r="I16" s="24">
        <v>5</v>
      </c>
      <c r="J16" s="24">
        <v>4</v>
      </c>
      <c r="K16" s="24">
        <v>4</v>
      </c>
      <c r="L16" s="24"/>
      <c r="M16" s="24" t="b">
        <v>0</v>
      </c>
      <c r="N16" s="24" t="s">
        <v>477</v>
      </c>
      <c r="O16" s="15">
        <f>VLOOKUP(N16,Select!D:H,5,FALSE)</f>
        <v>0</v>
      </c>
    </row>
    <row r="17" spans="1:15">
      <c r="A17" s="23">
        <v>100106</v>
      </c>
      <c r="B17" s="5" t="s">
        <v>24</v>
      </c>
      <c r="C17" s="6">
        <f>VLOOKUP(B17,Select!A:H,8,FALSE)</f>
        <v>1</v>
      </c>
      <c r="D17" s="5" t="s">
        <v>10</v>
      </c>
      <c r="E17" s="6">
        <f>VLOOKUP(D17,Select!B:H,7,FALSE)</f>
        <v>0</v>
      </c>
      <c r="F17" s="5" t="s">
        <v>3</v>
      </c>
      <c r="G17" s="6">
        <f>VLOOKUP(F17,Select!C:H,6,FALSE)</f>
        <v>0</v>
      </c>
      <c r="H17" s="24" t="s">
        <v>492</v>
      </c>
      <c r="I17" s="24">
        <v>6</v>
      </c>
      <c r="J17" s="24">
        <v>4</v>
      </c>
      <c r="K17" s="24">
        <v>5</v>
      </c>
      <c r="L17" s="24"/>
      <c r="M17" s="24" t="b">
        <v>0</v>
      </c>
      <c r="N17" s="24" t="s">
        <v>477</v>
      </c>
      <c r="O17" s="15">
        <f>VLOOKUP(N17,Select!D:H,5,FALSE)</f>
        <v>0</v>
      </c>
    </row>
    <row r="18" spans="1:15">
      <c r="A18" s="23">
        <v>100107</v>
      </c>
      <c r="B18" s="1" t="s">
        <v>24</v>
      </c>
      <c r="C18" s="6">
        <f>VLOOKUP(B18,Select!A:H,8,FALSE)</f>
        <v>1</v>
      </c>
      <c r="D18" s="1" t="s">
        <v>10</v>
      </c>
      <c r="E18" s="6">
        <f>VLOOKUP(D18,Select!B:H,7,FALSE)</f>
        <v>0</v>
      </c>
      <c r="F18" s="1" t="s">
        <v>23</v>
      </c>
      <c r="G18" s="6">
        <f>VLOOKUP(F18,Select!C:H,6,FALSE)</f>
        <v>1</v>
      </c>
      <c r="H18" s="24" t="s">
        <v>493</v>
      </c>
      <c r="I18" s="24">
        <v>2</v>
      </c>
      <c r="J18" s="24"/>
      <c r="K18" s="24"/>
      <c r="L18" s="24"/>
      <c r="M18" s="24" t="b">
        <v>0</v>
      </c>
      <c r="N18" s="24" t="s">
        <v>477</v>
      </c>
      <c r="O18" s="15">
        <f>VLOOKUP(N18,Select!D:H,5,FALSE)</f>
        <v>0</v>
      </c>
    </row>
    <row r="19" spans="1:15">
      <c r="A19" s="23">
        <v>100108</v>
      </c>
      <c r="B19" s="5" t="s">
        <v>24</v>
      </c>
      <c r="C19" s="6">
        <f>VLOOKUP(B19,Select!A:H,8,FALSE)</f>
        <v>1</v>
      </c>
      <c r="D19" s="5" t="s">
        <v>36</v>
      </c>
      <c r="E19" s="6">
        <f>VLOOKUP(D19,Select!B:H,7,FALSE)</f>
        <v>1</v>
      </c>
      <c r="F19" s="5" t="s">
        <v>3</v>
      </c>
      <c r="G19" s="6">
        <f>VLOOKUP(F19,Select!C:H,6,FALSE)</f>
        <v>0</v>
      </c>
      <c r="H19" s="24" t="s">
        <v>494</v>
      </c>
      <c r="I19" s="24">
        <v>2</v>
      </c>
      <c r="J19" s="24">
        <v>2</v>
      </c>
      <c r="K19" s="24">
        <v>1</v>
      </c>
      <c r="L19" s="24"/>
      <c r="M19" s="24" t="b">
        <v>0</v>
      </c>
      <c r="N19" s="24" t="s">
        <v>477</v>
      </c>
      <c r="O19" s="15">
        <f>VLOOKUP(N19,Select!D:H,5,FALSE)</f>
        <v>0</v>
      </c>
    </row>
    <row r="20" spans="1:15">
      <c r="A20" s="23">
        <v>100109</v>
      </c>
      <c r="B20" s="1" t="s">
        <v>24</v>
      </c>
      <c r="C20" s="6">
        <f>VLOOKUP(B20,Select!A:H,8,FALSE)</f>
        <v>1</v>
      </c>
      <c r="D20" s="1" t="s">
        <v>36</v>
      </c>
      <c r="E20" s="6">
        <f>VLOOKUP(D20,Select!B:H,7,FALSE)</f>
        <v>1</v>
      </c>
      <c r="F20" s="1" t="s">
        <v>3</v>
      </c>
      <c r="G20" s="6">
        <f>VLOOKUP(F20,Select!C:H,6,FALSE)</f>
        <v>0</v>
      </c>
      <c r="H20" s="24" t="s">
        <v>495</v>
      </c>
      <c r="I20" s="24">
        <v>4</v>
      </c>
      <c r="J20" s="24">
        <v>4</v>
      </c>
      <c r="K20" s="24">
        <v>3</v>
      </c>
      <c r="L20" s="24"/>
      <c r="M20" s="24" t="b">
        <v>0</v>
      </c>
      <c r="N20" s="24" t="s">
        <v>477</v>
      </c>
      <c r="O20" s="15">
        <f>VLOOKUP(N20,Select!D:H,5,FALSE)</f>
        <v>0</v>
      </c>
    </row>
    <row r="21" spans="1:15">
      <c r="A21" s="23">
        <v>100110</v>
      </c>
      <c r="B21" s="5" t="s">
        <v>24</v>
      </c>
      <c r="C21" s="6">
        <f>VLOOKUP(B21,Select!A:H,8,FALSE)</f>
        <v>1</v>
      </c>
      <c r="D21" s="5" t="s">
        <v>36</v>
      </c>
      <c r="E21" s="6">
        <f>VLOOKUP(D21,Select!B:H,7,FALSE)</f>
        <v>1</v>
      </c>
      <c r="F21" s="5" t="s">
        <v>3</v>
      </c>
      <c r="G21" s="6">
        <f>VLOOKUP(F21,Select!C:H,6,FALSE)</f>
        <v>0</v>
      </c>
      <c r="H21" s="24" t="s">
        <v>496</v>
      </c>
      <c r="I21" s="24">
        <v>6</v>
      </c>
      <c r="J21" s="24">
        <v>5</v>
      </c>
      <c r="K21" s="24">
        <v>5</v>
      </c>
      <c r="L21" s="24"/>
      <c r="M21" s="24" t="b">
        <v>0</v>
      </c>
      <c r="N21" s="24" t="s">
        <v>477</v>
      </c>
      <c r="O21" s="15">
        <f>VLOOKUP(N21,Select!D:H,5,FALSE)</f>
        <v>0</v>
      </c>
    </row>
    <row r="22" spans="1:15">
      <c r="A22" s="23">
        <v>100111</v>
      </c>
      <c r="B22" s="1" t="s">
        <v>24</v>
      </c>
      <c r="C22" s="6">
        <f>VLOOKUP(B22,Select!A:H,8,FALSE)</f>
        <v>1</v>
      </c>
      <c r="D22" s="1" t="s">
        <v>10</v>
      </c>
      <c r="E22" s="6">
        <f>VLOOKUP(D22,Select!B:H,7,FALSE)</f>
        <v>0</v>
      </c>
      <c r="F22" s="1" t="s">
        <v>3</v>
      </c>
      <c r="G22" s="6">
        <f>VLOOKUP(F22,Select!C:H,6,FALSE)</f>
        <v>0</v>
      </c>
      <c r="H22" s="24" t="s">
        <v>229</v>
      </c>
      <c r="I22" s="24">
        <v>1</v>
      </c>
      <c r="J22" s="24">
        <v>1</v>
      </c>
      <c r="K22" s="24">
        <v>1</v>
      </c>
      <c r="L22" s="24"/>
      <c r="M22" s="24" t="b">
        <v>1</v>
      </c>
      <c r="N22" s="24" t="s">
        <v>477</v>
      </c>
      <c r="O22" s="15">
        <f>VLOOKUP(N22,Select!D:H,5,FALSE)</f>
        <v>0</v>
      </c>
    </row>
    <row r="23" spans="1:15">
      <c r="A23" s="23">
        <v>100200</v>
      </c>
      <c r="B23" s="5" t="s">
        <v>25</v>
      </c>
      <c r="C23" s="6">
        <f>VLOOKUP(B23,Select!A:H,8,FALSE)</f>
        <v>2</v>
      </c>
      <c r="D23" s="5" t="s">
        <v>10</v>
      </c>
      <c r="E23" s="6">
        <f>VLOOKUP(D23,Select!B:H,7,FALSE)</f>
        <v>0</v>
      </c>
      <c r="F23" s="5" t="s">
        <v>3</v>
      </c>
      <c r="G23" s="6">
        <f>VLOOKUP(F23,Select!C:H,6,FALSE)</f>
        <v>0</v>
      </c>
      <c r="H23" s="24" t="s">
        <v>497</v>
      </c>
      <c r="I23" s="24">
        <v>1</v>
      </c>
      <c r="J23" s="24">
        <v>1</v>
      </c>
      <c r="K23" s="24">
        <v>1</v>
      </c>
      <c r="L23" s="24"/>
      <c r="M23" s="24" t="b">
        <v>0</v>
      </c>
      <c r="N23" s="24" t="s">
        <v>460</v>
      </c>
      <c r="O23" s="15">
        <f>VLOOKUP(N23,Select!D:H,5,FALSE)</f>
        <v>1</v>
      </c>
    </row>
    <row r="24" spans="1:15">
      <c r="A24" s="23">
        <v>100201</v>
      </c>
      <c r="B24" s="1" t="s">
        <v>25</v>
      </c>
      <c r="C24" s="6">
        <f>VLOOKUP(B24,Select!A:H,8,FALSE)</f>
        <v>2</v>
      </c>
      <c r="D24" s="1" t="s">
        <v>10</v>
      </c>
      <c r="E24" s="6">
        <f>VLOOKUP(D24,Select!B:H,7,FALSE)</f>
        <v>0</v>
      </c>
      <c r="F24" s="1" t="s">
        <v>3</v>
      </c>
      <c r="G24" s="6">
        <f>VLOOKUP(F24,Select!C:H,6,FALSE)</f>
        <v>0</v>
      </c>
      <c r="H24" s="24" t="s">
        <v>498</v>
      </c>
      <c r="I24" s="24">
        <v>2</v>
      </c>
      <c r="J24" s="24">
        <v>1</v>
      </c>
      <c r="K24" s="24">
        <v>1</v>
      </c>
      <c r="L24" s="24"/>
      <c r="M24" s="24" t="b">
        <v>0</v>
      </c>
      <c r="N24" s="24" t="s">
        <v>460</v>
      </c>
      <c r="O24" s="15">
        <f>VLOOKUP(N24,Select!D:H,5,FALSE)</f>
        <v>1</v>
      </c>
    </row>
    <row r="25" spans="1:15">
      <c r="A25" s="23">
        <v>100202</v>
      </c>
      <c r="B25" s="5" t="s">
        <v>25</v>
      </c>
      <c r="C25" s="6">
        <f>VLOOKUP(B25,Select!A:H,8,FALSE)</f>
        <v>2</v>
      </c>
      <c r="D25" s="5" t="s">
        <v>10</v>
      </c>
      <c r="E25" s="6">
        <f>VLOOKUP(D25,Select!B:H,7,FALSE)</f>
        <v>0</v>
      </c>
      <c r="F25" s="5" t="s">
        <v>3</v>
      </c>
      <c r="G25" s="6">
        <f>VLOOKUP(F25,Select!C:H,6,FALSE)</f>
        <v>0</v>
      </c>
      <c r="H25" s="24" t="s">
        <v>499</v>
      </c>
      <c r="I25" s="24">
        <v>2</v>
      </c>
      <c r="J25" s="24">
        <v>2</v>
      </c>
      <c r="K25" s="24">
        <v>1</v>
      </c>
      <c r="L25" s="24"/>
      <c r="M25" s="24" t="b">
        <v>0</v>
      </c>
      <c r="N25" s="24" t="s">
        <v>460</v>
      </c>
      <c r="O25" s="15">
        <f>VLOOKUP(N25,Select!D:H,5,FALSE)</f>
        <v>1</v>
      </c>
    </row>
    <row r="26" spans="1:15">
      <c r="A26" s="23">
        <v>100203</v>
      </c>
      <c r="B26" s="1" t="s">
        <v>25</v>
      </c>
      <c r="C26" s="6">
        <f>VLOOKUP(B26,Select!A:H,8,FALSE)</f>
        <v>2</v>
      </c>
      <c r="D26" s="1" t="s">
        <v>10</v>
      </c>
      <c r="E26" s="6">
        <f>VLOOKUP(D26,Select!B:H,7,FALSE)</f>
        <v>0</v>
      </c>
      <c r="F26" s="1" t="s">
        <v>3</v>
      </c>
      <c r="G26" s="6">
        <f>VLOOKUP(F26,Select!C:H,6,FALSE)</f>
        <v>0</v>
      </c>
      <c r="H26" s="24" t="s">
        <v>500</v>
      </c>
      <c r="I26" s="24">
        <v>3</v>
      </c>
      <c r="J26" s="24">
        <v>1</v>
      </c>
      <c r="K26" s="24">
        <v>2</v>
      </c>
      <c r="L26" s="24"/>
      <c r="M26" s="24" t="b">
        <v>0</v>
      </c>
      <c r="N26" s="24" t="s">
        <v>460</v>
      </c>
      <c r="O26" s="15">
        <f>VLOOKUP(N26,Select!D:H,5,FALSE)</f>
        <v>1</v>
      </c>
    </row>
    <row r="27" spans="1:15">
      <c r="A27" s="23">
        <v>100204</v>
      </c>
      <c r="B27" s="5" t="s">
        <v>25</v>
      </c>
      <c r="C27" s="6">
        <f>VLOOKUP(B27,Select!A:H,8,FALSE)</f>
        <v>2</v>
      </c>
      <c r="D27" s="5" t="s">
        <v>10</v>
      </c>
      <c r="E27" s="6">
        <f>VLOOKUP(D27,Select!B:H,7,FALSE)</f>
        <v>0</v>
      </c>
      <c r="F27" s="5" t="s">
        <v>3</v>
      </c>
      <c r="G27" s="6">
        <f>VLOOKUP(F27,Select!C:H,6,FALSE)</f>
        <v>0</v>
      </c>
      <c r="H27" s="24" t="s">
        <v>501</v>
      </c>
      <c r="I27" s="24">
        <v>4</v>
      </c>
      <c r="J27" s="24">
        <v>3</v>
      </c>
      <c r="K27" s="24">
        <v>3</v>
      </c>
      <c r="L27" s="24"/>
      <c r="M27" s="24" t="b">
        <v>0</v>
      </c>
      <c r="N27" s="24" t="s">
        <v>656</v>
      </c>
      <c r="O27" s="15">
        <f>VLOOKUP(N27,Select!D:H,5,FALSE)</f>
        <v>16</v>
      </c>
    </row>
    <row r="28" spans="1:15">
      <c r="A28" s="23">
        <v>100205</v>
      </c>
      <c r="B28" s="1" t="s">
        <v>25</v>
      </c>
      <c r="C28" s="6">
        <f>VLOOKUP(B28,Select!A:H,8,FALSE)</f>
        <v>2</v>
      </c>
      <c r="D28" s="1" t="s">
        <v>10</v>
      </c>
      <c r="E28" s="6">
        <f>VLOOKUP(D28,Select!B:H,7,FALSE)</f>
        <v>0</v>
      </c>
      <c r="F28" s="1" t="s">
        <v>3</v>
      </c>
      <c r="G28" s="6">
        <f>VLOOKUP(F28,Select!C:H,6,FALSE)</f>
        <v>0</v>
      </c>
      <c r="H28" s="24" t="s">
        <v>502</v>
      </c>
      <c r="I28" s="24">
        <v>5</v>
      </c>
      <c r="J28" s="24">
        <v>4</v>
      </c>
      <c r="K28" s="24">
        <v>4</v>
      </c>
      <c r="L28" s="24"/>
      <c r="M28" s="24" t="b">
        <v>0</v>
      </c>
      <c r="N28" s="24" t="s">
        <v>460</v>
      </c>
      <c r="O28" s="15">
        <f>VLOOKUP(N28,Select!D:H,5,FALSE)</f>
        <v>1</v>
      </c>
    </row>
    <row r="29" spans="1:15">
      <c r="A29" s="23">
        <v>100206</v>
      </c>
      <c r="B29" s="5" t="s">
        <v>25</v>
      </c>
      <c r="C29" s="6">
        <f>VLOOKUP(B29,Select!A:H,8,FALSE)</f>
        <v>2</v>
      </c>
      <c r="D29" s="5" t="s">
        <v>10</v>
      </c>
      <c r="E29" s="6">
        <f>VLOOKUP(D29,Select!B:H,7,FALSE)</f>
        <v>0</v>
      </c>
      <c r="F29" s="5" t="s">
        <v>23</v>
      </c>
      <c r="G29" s="6">
        <f>VLOOKUP(F29,Select!C:H,6,FALSE)</f>
        <v>1</v>
      </c>
      <c r="H29" s="24" t="s">
        <v>503</v>
      </c>
      <c r="I29" s="24">
        <v>1</v>
      </c>
      <c r="J29" s="24"/>
      <c r="K29" s="24"/>
      <c r="L29" s="24"/>
      <c r="M29" s="24" t="b">
        <v>0</v>
      </c>
      <c r="N29" s="24" t="s">
        <v>477</v>
      </c>
      <c r="O29" s="15">
        <f>VLOOKUP(N29,Select!D:H,5,FALSE)</f>
        <v>0</v>
      </c>
    </row>
    <row r="30" spans="1:15">
      <c r="A30" s="23">
        <v>100207</v>
      </c>
      <c r="B30" s="1" t="s">
        <v>25</v>
      </c>
      <c r="C30" s="6">
        <f>VLOOKUP(B30,Select!A:H,8,FALSE)</f>
        <v>2</v>
      </c>
      <c r="D30" s="1" t="s">
        <v>10</v>
      </c>
      <c r="E30" s="6">
        <f>VLOOKUP(D30,Select!B:H,7,FALSE)</f>
        <v>0</v>
      </c>
      <c r="F30" s="1" t="s">
        <v>23</v>
      </c>
      <c r="G30" s="6">
        <f>VLOOKUP(F30,Select!C:H,6,FALSE)</f>
        <v>1</v>
      </c>
      <c r="H30" s="24" t="s">
        <v>504</v>
      </c>
      <c r="I30" s="24">
        <v>3</v>
      </c>
      <c r="J30" s="24"/>
      <c r="K30" s="24"/>
      <c r="L30" s="24"/>
      <c r="M30" s="24" t="b">
        <v>0</v>
      </c>
      <c r="N30" s="24" t="s">
        <v>477</v>
      </c>
      <c r="O30" s="15">
        <f>VLOOKUP(N30,Select!D:H,5,FALSE)</f>
        <v>0</v>
      </c>
    </row>
    <row r="31" spans="1:15">
      <c r="A31" s="23">
        <v>100208</v>
      </c>
      <c r="B31" s="5" t="s">
        <v>25</v>
      </c>
      <c r="C31" s="6">
        <f>VLOOKUP(B31,Select!A:H,8,FALSE)</f>
        <v>2</v>
      </c>
      <c r="D31" s="5" t="s">
        <v>36</v>
      </c>
      <c r="E31" s="6">
        <f>VLOOKUP(D31,Select!B:H,7,FALSE)</f>
        <v>1</v>
      </c>
      <c r="F31" s="5" t="s">
        <v>3</v>
      </c>
      <c r="G31" s="6">
        <f>VLOOKUP(F31,Select!C:H,6,FALSE)</f>
        <v>0</v>
      </c>
      <c r="H31" s="24" t="s">
        <v>505</v>
      </c>
      <c r="I31" s="24">
        <v>4</v>
      </c>
      <c r="J31" s="24">
        <v>3</v>
      </c>
      <c r="K31" s="24">
        <v>4</v>
      </c>
      <c r="L31" s="24"/>
      <c r="M31" s="24" t="b">
        <v>0</v>
      </c>
      <c r="N31" s="24" t="s">
        <v>460</v>
      </c>
      <c r="O31" s="15">
        <f>VLOOKUP(N31,Select!D:H,5,FALSE)</f>
        <v>1</v>
      </c>
    </row>
    <row r="32" spans="1:15">
      <c r="A32" s="23">
        <v>100209</v>
      </c>
      <c r="B32" s="1" t="s">
        <v>25</v>
      </c>
      <c r="C32" s="6">
        <f>VLOOKUP(B32,Select!A:H,8,FALSE)</f>
        <v>2</v>
      </c>
      <c r="D32" s="1" t="s">
        <v>36</v>
      </c>
      <c r="E32" s="6">
        <f>VLOOKUP(D32,Select!B:H,7,FALSE)</f>
        <v>1</v>
      </c>
      <c r="F32" s="1" t="s">
        <v>3</v>
      </c>
      <c r="G32" s="6">
        <f>VLOOKUP(F32,Select!C:H,6,FALSE)</f>
        <v>0</v>
      </c>
      <c r="H32" s="24" t="s">
        <v>506</v>
      </c>
      <c r="I32" s="24">
        <v>6</v>
      </c>
      <c r="J32" s="24">
        <v>4</v>
      </c>
      <c r="K32" s="24">
        <v>6</v>
      </c>
      <c r="L32" s="24"/>
      <c r="M32" s="24" t="b">
        <v>0</v>
      </c>
      <c r="N32" s="24" t="s">
        <v>656</v>
      </c>
      <c r="O32" s="15">
        <f>VLOOKUP(N32,Select!D:H,5,FALSE)</f>
        <v>16</v>
      </c>
    </row>
    <row r="33" spans="1:15">
      <c r="A33" s="23">
        <v>100210</v>
      </c>
      <c r="B33" s="5" t="s">
        <v>25</v>
      </c>
      <c r="C33" s="6">
        <f>VLOOKUP(B33,Select!A:H,8,FALSE)</f>
        <v>2</v>
      </c>
      <c r="D33" s="5" t="s">
        <v>36</v>
      </c>
      <c r="E33" s="6">
        <f>VLOOKUP(D33,Select!B:H,7,FALSE)</f>
        <v>1</v>
      </c>
      <c r="F33" s="5" t="s">
        <v>34</v>
      </c>
      <c r="G33" s="6">
        <f>VLOOKUP(F33,Select!C:H,6,FALSE)</f>
        <v>2</v>
      </c>
      <c r="H33" s="24" t="s">
        <v>507</v>
      </c>
      <c r="I33" s="24">
        <v>4</v>
      </c>
      <c r="J33" s="24"/>
      <c r="K33" s="24"/>
      <c r="L33" s="24"/>
      <c r="M33" s="24" t="b">
        <v>0</v>
      </c>
      <c r="N33" s="24" t="s">
        <v>656</v>
      </c>
      <c r="O33" s="15">
        <f>VLOOKUP(N33,Select!D:H,5,FALSE)</f>
        <v>16</v>
      </c>
    </row>
    <row r="34" spans="1:15">
      <c r="A34" s="23">
        <v>100211</v>
      </c>
      <c r="B34" s="1" t="s">
        <v>25</v>
      </c>
      <c r="C34" s="6">
        <f>VLOOKUP(B34,Select!A:H,8,FALSE)</f>
        <v>2</v>
      </c>
      <c r="D34" s="1" t="s">
        <v>10</v>
      </c>
      <c r="E34" s="6">
        <f>VLOOKUP(D34,Select!B:H,7,FALSE)</f>
        <v>0</v>
      </c>
      <c r="F34" s="1" t="s">
        <v>3</v>
      </c>
      <c r="G34" s="6">
        <f>VLOOKUP(F34,Select!C:H,6,FALSE)</f>
        <v>0</v>
      </c>
      <c r="H34" s="24" t="s">
        <v>230</v>
      </c>
      <c r="I34" s="24">
        <v>1</v>
      </c>
      <c r="J34" s="24">
        <v>1</v>
      </c>
      <c r="K34" s="24">
        <v>1</v>
      </c>
      <c r="L34" s="24"/>
      <c r="M34" s="24" t="b">
        <v>1</v>
      </c>
      <c r="N34" s="24" t="s">
        <v>460</v>
      </c>
      <c r="O34" s="15">
        <f>VLOOKUP(N34,Select!D:H,5,FALSE)</f>
        <v>1</v>
      </c>
    </row>
    <row r="35" spans="1:15">
      <c r="A35" s="23">
        <v>100212</v>
      </c>
      <c r="B35" s="5" t="s">
        <v>25</v>
      </c>
      <c r="C35" s="6">
        <f>VLOOKUP(B35,Select!A:H,8,FALSE)</f>
        <v>2</v>
      </c>
      <c r="D35" s="5" t="s">
        <v>10</v>
      </c>
      <c r="E35" s="6">
        <f>VLOOKUP(D35,Select!B:H,7,FALSE)</f>
        <v>0</v>
      </c>
      <c r="F35" s="5" t="s">
        <v>3</v>
      </c>
      <c r="G35" s="6">
        <f>VLOOKUP(F35,Select!C:H,6,FALSE)</f>
        <v>0</v>
      </c>
      <c r="H35" s="24" t="s">
        <v>508</v>
      </c>
      <c r="I35" s="24">
        <v>1</v>
      </c>
      <c r="J35" s="24">
        <v>1</v>
      </c>
      <c r="K35" s="24">
        <v>2</v>
      </c>
      <c r="L35" s="24"/>
      <c r="M35" s="24" t="b">
        <v>1</v>
      </c>
      <c r="N35" s="24" t="s">
        <v>460</v>
      </c>
      <c r="O35" s="15">
        <f>VLOOKUP(N35,Select!D:H,5,FALSE)</f>
        <v>1</v>
      </c>
    </row>
    <row r="36" spans="1:15">
      <c r="A36" s="23">
        <v>100213</v>
      </c>
      <c r="B36" s="1" t="s">
        <v>25</v>
      </c>
      <c r="C36" s="6">
        <f>VLOOKUP(B36,Select!A:H,8,FALSE)</f>
        <v>2</v>
      </c>
      <c r="D36" s="1" t="s">
        <v>10</v>
      </c>
      <c r="E36" s="6">
        <f>VLOOKUP(D36,Select!B:H,7,FALSE)</f>
        <v>0</v>
      </c>
      <c r="F36" s="1" t="s">
        <v>3</v>
      </c>
      <c r="G36" s="6">
        <f>VLOOKUP(F36,Select!C:H,6,FALSE)</f>
        <v>0</v>
      </c>
      <c r="H36" s="24" t="s">
        <v>242</v>
      </c>
      <c r="I36" s="24">
        <v>2</v>
      </c>
      <c r="J36" s="24">
        <v>2</v>
      </c>
      <c r="K36" s="24">
        <v>2</v>
      </c>
      <c r="L36" s="24"/>
      <c r="M36" s="24" t="b">
        <v>1</v>
      </c>
      <c r="N36" s="24" t="s">
        <v>460</v>
      </c>
      <c r="O36" s="15">
        <f>VLOOKUP(N36,Select!D:H,5,FALSE)</f>
        <v>1</v>
      </c>
    </row>
    <row r="37" spans="1:15">
      <c r="A37" s="23">
        <v>100300</v>
      </c>
      <c r="B37" s="5" t="s">
        <v>22</v>
      </c>
      <c r="C37" s="6">
        <f>VLOOKUP(B37,Select!A:H,8,FALSE)</f>
        <v>3</v>
      </c>
      <c r="D37" s="5" t="s">
        <v>10</v>
      </c>
      <c r="E37" s="6">
        <f>VLOOKUP(D37,Select!B:H,7,FALSE)</f>
        <v>0</v>
      </c>
      <c r="F37" s="5" t="s">
        <v>3</v>
      </c>
      <c r="G37" s="6">
        <f>VLOOKUP(F37,Select!C:H,6,FALSE)</f>
        <v>0</v>
      </c>
      <c r="H37" s="24" t="s">
        <v>509</v>
      </c>
      <c r="I37" s="24">
        <v>2</v>
      </c>
      <c r="J37" s="24">
        <v>2</v>
      </c>
      <c r="K37" s="24">
        <v>2</v>
      </c>
      <c r="L37" s="24"/>
      <c r="M37" s="24" t="b">
        <v>0</v>
      </c>
      <c r="N37" s="24" t="s">
        <v>477</v>
      </c>
      <c r="O37" s="15">
        <f>VLOOKUP(N37,Select!D:H,5,FALSE)</f>
        <v>0</v>
      </c>
    </row>
    <row r="38" spans="1:15">
      <c r="A38" s="23">
        <v>100301</v>
      </c>
      <c r="B38" s="1" t="s">
        <v>22</v>
      </c>
      <c r="C38" s="6">
        <f>VLOOKUP(B38,Select!A:H,8,FALSE)</f>
        <v>3</v>
      </c>
      <c r="D38" s="1" t="s">
        <v>10</v>
      </c>
      <c r="E38" s="6">
        <f>VLOOKUP(D38,Select!B:H,7,FALSE)</f>
        <v>0</v>
      </c>
      <c r="F38" s="1" t="s">
        <v>23</v>
      </c>
      <c r="G38" s="6">
        <f>VLOOKUP(F38,Select!C:H,6,FALSE)</f>
        <v>1</v>
      </c>
      <c r="H38" s="24" t="s">
        <v>510</v>
      </c>
      <c r="I38" s="24">
        <v>1</v>
      </c>
      <c r="J38" s="24"/>
      <c r="K38" s="24"/>
      <c r="L38" s="24"/>
      <c r="M38" s="24" t="b">
        <v>0</v>
      </c>
      <c r="N38" s="24" t="s">
        <v>477</v>
      </c>
      <c r="O38" s="15">
        <f>VLOOKUP(N38,Select!D:H,5,FALSE)</f>
        <v>0</v>
      </c>
    </row>
    <row r="39" spans="1:15">
      <c r="A39" s="23">
        <v>100302</v>
      </c>
      <c r="B39" s="5" t="s">
        <v>22</v>
      </c>
      <c r="C39" s="6">
        <f>VLOOKUP(B39,Select!A:H,8,FALSE)</f>
        <v>3</v>
      </c>
      <c r="D39" s="5" t="s">
        <v>10</v>
      </c>
      <c r="E39" s="6">
        <f>VLOOKUP(D39,Select!B:H,7,FALSE)</f>
        <v>0</v>
      </c>
      <c r="F39" s="5" t="s">
        <v>23</v>
      </c>
      <c r="G39" s="6">
        <f>VLOOKUP(F39,Select!C:H,6,FALSE)</f>
        <v>1</v>
      </c>
      <c r="H39" s="24" t="s">
        <v>511</v>
      </c>
      <c r="I39" s="24">
        <v>2</v>
      </c>
      <c r="J39" s="24"/>
      <c r="K39" s="24"/>
      <c r="L39" s="24"/>
      <c r="M39" s="24" t="b">
        <v>0</v>
      </c>
      <c r="N39" s="24" t="s">
        <v>477</v>
      </c>
      <c r="O39" s="15">
        <f>VLOOKUP(N39,Select!D:H,5,FALSE)</f>
        <v>0</v>
      </c>
    </row>
    <row r="40" spans="1:15">
      <c r="A40" s="23">
        <v>100303</v>
      </c>
      <c r="B40" s="1" t="s">
        <v>22</v>
      </c>
      <c r="C40" s="6">
        <f>VLOOKUP(B40,Select!A:H,8,FALSE)</f>
        <v>3</v>
      </c>
      <c r="D40" s="1" t="s">
        <v>10</v>
      </c>
      <c r="E40" s="6">
        <f>VLOOKUP(D40,Select!B:H,7,FALSE)</f>
        <v>0</v>
      </c>
      <c r="F40" s="1" t="s">
        <v>23</v>
      </c>
      <c r="G40" s="6">
        <f>VLOOKUP(F40,Select!C:H,6,FALSE)</f>
        <v>1</v>
      </c>
      <c r="H40" s="24" t="s">
        <v>512</v>
      </c>
      <c r="I40" s="24">
        <v>2</v>
      </c>
      <c r="J40" s="24"/>
      <c r="K40" s="24"/>
      <c r="L40" s="24"/>
      <c r="M40" s="24" t="b">
        <v>0</v>
      </c>
      <c r="N40" s="24" t="s">
        <v>477</v>
      </c>
      <c r="O40" s="15">
        <f>VLOOKUP(N40,Select!D:H,5,FALSE)</f>
        <v>0</v>
      </c>
    </row>
    <row r="41" spans="1:15">
      <c r="A41" s="23">
        <v>100304</v>
      </c>
      <c r="B41" s="5" t="s">
        <v>22</v>
      </c>
      <c r="C41" s="6">
        <f>VLOOKUP(B41,Select!A:H,8,FALSE)</f>
        <v>3</v>
      </c>
      <c r="D41" s="5" t="s">
        <v>10</v>
      </c>
      <c r="E41" s="6">
        <f>VLOOKUP(D41,Select!B:H,7,FALSE)</f>
        <v>0</v>
      </c>
      <c r="F41" s="5" t="s">
        <v>23</v>
      </c>
      <c r="G41" s="6">
        <f>VLOOKUP(F41,Select!C:H,6,FALSE)</f>
        <v>1</v>
      </c>
      <c r="H41" s="24" t="s">
        <v>513</v>
      </c>
      <c r="I41" s="24">
        <v>2</v>
      </c>
      <c r="J41" s="24"/>
      <c r="K41" s="24"/>
      <c r="L41" s="24"/>
      <c r="M41" s="24" t="b">
        <v>0</v>
      </c>
      <c r="N41" s="24" t="s">
        <v>477</v>
      </c>
      <c r="O41" s="15">
        <f>VLOOKUP(N41,Select!D:H,5,FALSE)</f>
        <v>0</v>
      </c>
    </row>
    <row r="42" spans="1:15">
      <c r="A42" s="23">
        <v>100305</v>
      </c>
      <c r="B42" s="1" t="s">
        <v>22</v>
      </c>
      <c r="C42" s="6">
        <f>VLOOKUP(B42,Select!A:H,8,FALSE)</f>
        <v>3</v>
      </c>
      <c r="D42" s="1" t="s">
        <v>10</v>
      </c>
      <c r="E42" s="6">
        <f>VLOOKUP(D42,Select!B:H,7,FALSE)</f>
        <v>0</v>
      </c>
      <c r="F42" s="1" t="s">
        <v>23</v>
      </c>
      <c r="G42" s="6">
        <f>VLOOKUP(F42,Select!C:H,6,FALSE)</f>
        <v>1</v>
      </c>
      <c r="H42" s="24" t="s">
        <v>514</v>
      </c>
      <c r="I42" s="24">
        <v>3</v>
      </c>
      <c r="J42" s="24"/>
      <c r="K42" s="24"/>
      <c r="L42" s="24"/>
      <c r="M42" s="24" t="b">
        <v>0</v>
      </c>
      <c r="N42" s="24" t="s">
        <v>477</v>
      </c>
      <c r="O42" s="15">
        <f>VLOOKUP(N42,Select!D:H,5,FALSE)</f>
        <v>0</v>
      </c>
    </row>
    <row r="43" spans="1:15">
      <c r="A43" s="23">
        <v>100306</v>
      </c>
      <c r="B43" s="5" t="s">
        <v>22</v>
      </c>
      <c r="C43" s="6">
        <f>VLOOKUP(B43,Select!A:H,8,FALSE)</f>
        <v>3</v>
      </c>
      <c r="D43" s="5" t="s">
        <v>10</v>
      </c>
      <c r="E43" s="6">
        <f>VLOOKUP(D43,Select!B:H,7,FALSE)</f>
        <v>0</v>
      </c>
      <c r="F43" s="5" t="s">
        <v>23</v>
      </c>
      <c r="G43" s="6">
        <f>VLOOKUP(F43,Select!C:H,6,FALSE)</f>
        <v>1</v>
      </c>
      <c r="H43" s="24" t="s">
        <v>515</v>
      </c>
      <c r="I43" s="24">
        <v>4</v>
      </c>
      <c r="J43" s="24"/>
      <c r="K43" s="24"/>
      <c r="L43" s="24"/>
      <c r="M43" s="24" t="b">
        <v>0</v>
      </c>
      <c r="N43" s="24" t="s">
        <v>477</v>
      </c>
      <c r="O43" s="15">
        <f>VLOOKUP(N43,Select!D:H,5,FALSE)</f>
        <v>0</v>
      </c>
    </row>
    <row r="44" spans="1:15">
      <c r="A44" s="23">
        <v>100307</v>
      </c>
      <c r="B44" s="1" t="s">
        <v>22</v>
      </c>
      <c r="C44" s="6">
        <f>VLOOKUP(B44,Select!A:H,8,FALSE)</f>
        <v>3</v>
      </c>
      <c r="D44" s="1" t="s">
        <v>10</v>
      </c>
      <c r="E44" s="6">
        <f>VLOOKUP(D44,Select!B:H,7,FALSE)</f>
        <v>0</v>
      </c>
      <c r="F44" s="1" t="s">
        <v>23</v>
      </c>
      <c r="G44" s="6">
        <f>VLOOKUP(F44,Select!C:H,6,FALSE)</f>
        <v>1</v>
      </c>
      <c r="H44" s="24" t="s">
        <v>516</v>
      </c>
      <c r="I44" s="24">
        <v>8</v>
      </c>
      <c r="J44" s="24"/>
      <c r="K44" s="24"/>
      <c r="L44" s="24"/>
      <c r="M44" s="24" t="b">
        <v>0</v>
      </c>
      <c r="N44" s="24" t="s">
        <v>477</v>
      </c>
      <c r="O44" s="15">
        <f>VLOOKUP(N44,Select!D:H,5,FALSE)</f>
        <v>0</v>
      </c>
    </row>
    <row r="45" spans="1:15">
      <c r="A45" s="23">
        <v>100308</v>
      </c>
      <c r="B45" s="5" t="s">
        <v>22</v>
      </c>
      <c r="C45" s="6">
        <f>VLOOKUP(B45,Select!A:H,8,FALSE)</f>
        <v>3</v>
      </c>
      <c r="D45" s="5" t="s">
        <v>36</v>
      </c>
      <c r="E45" s="6">
        <f>VLOOKUP(D45,Select!B:H,7,FALSE)</f>
        <v>1</v>
      </c>
      <c r="F45" s="5" t="s">
        <v>3</v>
      </c>
      <c r="G45" s="6">
        <f>VLOOKUP(F45,Select!C:H,6,FALSE)</f>
        <v>0</v>
      </c>
      <c r="H45" s="24" t="s">
        <v>517</v>
      </c>
      <c r="I45" s="24">
        <v>4</v>
      </c>
      <c r="J45" s="24">
        <v>3</v>
      </c>
      <c r="K45" s="24">
        <v>4</v>
      </c>
      <c r="L45" s="24"/>
      <c r="M45" s="24" t="b">
        <v>0</v>
      </c>
      <c r="N45" s="24" t="s">
        <v>477</v>
      </c>
      <c r="O45" s="15">
        <f>VLOOKUP(N45,Select!D:H,5,FALSE)</f>
        <v>0</v>
      </c>
    </row>
    <row r="46" spans="1:15">
      <c r="A46" s="23">
        <v>100309</v>
      </c>
      <c r="B46" s="1" t="s">
        <v>22</v>
      </c>
      <c r="C46" s="6">
        <f>VLOOKUP(B46,Select!A:H,8,FALSE)</f>
        <v>3</v>
      </c>
      <c r="D46" s="1" t="s">
        <v>36</v>
      </c>
      <c r="E46" s="6">
        <f>VLOOKUP(D46,Select!B:H,7,FALSE)</f>
        <v>1</v>
      </c>
      <c r="F46" s="1" t="s">
        <v>3</v>
      </c>
      <c r="G46" s="6">
        <f>VLOOKUP(F46,Select!C:H,6,FALSE)</f>
        <v>0</v>
      </c>
      <c r="H46" s="24" t="s">
        <v>518</v>
      </c>
      <c r="I46" s="24">
        <v>5</v>
      </c>
      <c r="J46" s="24">
        <v>3</v>
      </c>
      <c r="K46" s="24">
        <v>3</v>
      </c>
      <c r="L46" s="24"/>
      <c r="M46" s="24" t="b">
        <v>0</v>
      </c>
      <c r="N46" s="24" t="s">
        <v>477</v>
      </c>
      <c r="O46" s="15">
        <f>VLOOKUP(N46,Select!D:H,5,FALSE)</f>
        <v>0</v>
      </c>
    </row>
    <row r="47" spans="1:15">
      <c r="A47" s="23">
        <v>100310</v>
      </c>
      <c r="B47" s="5" t="s">
        <v>22</v>
      </c>
      <c r="C47" s="6">
        <f>VLOOKUP(B47,Select!A:H,8,FALSE)</f>
        <v>3</v>
      </c>
      <c r="D47" s="5" t="s">
        <v>36</v>
      </c>
      <c r="E47" s="6">
        <f>VLOOKUP(D47,Select!B:H,7,FALSE)</f>
        <v>1</v>
      </c>
      <c r="F47" s="5" t="s">
        <v>3</v>
      </c>
      <c r="G47" s="6">
        <f>VLOOKUP(F47,Select!C:H,6,FALSE)</f>
        <v>0</v>
      </c>
      <c r="H47" s="24" t="s">
        <v>519</v>
      </c>
      <c r="I47" s="24">
        <v>10</v>
      </c>
      <c r="J47" s="24">
        <v>7</v>
      </c>
      <c r="K47" s="24">
        <v>7</v>
      </c>
      <c r="L47" s="24"/>
      <c r="M47" s="24" t="b">
        <v>0</v>
      </c>
      <c r="N47" s="24" t="s">
        <v>477</v>
      </c>
      <c r="O47" s="15">
        <f>VLOOKUP(N47,Select!D:H,5,FALSE)</f>
        <v>0</v>
      </c>
    </row>
    <row r="48" spans="1:15">
      <c r="A48" s="23">
        <v>100311</v>
      </c>
      <c r="B48" s="1" t="s">
        <v>22</v>
      </c>
      <c r="C48" s="6">
        <f>VLOOKUP(B48,Select!A:H,8,FALSE)</f>
        <v>3</v>
      </c>
      <c r="D48" s="1" t="s">
        <v>10</v>
      </c>
      <c r="E48" s="6">
        <f>VLOOKUP(D48,Select!B:H,7,FALSE)</f>
        <v>0</v>
      </c>
      <c r="F48" s="1" t="s">
        <v>3</v>
      </c>
      <c r="G48" s="6">
        <f>VLOOKUP(F48,Select!C:H,6,FALSE)</f>
        <v>0</v>
      </c>
      <c r="H48" s="24" t="s">
        <v>520</v>
      </c>
      <c r="I48" s="24">
        <v>1</v>
      </c>
      <c r="J48" s="24">
        <v>1</v>
      </c>
      <c r="K48" s="24">
        <v>1</v>
      </c>
      <c r="L48" s="24"/>
      <c r="M48" s="24" t="b">
        <v>1</v>
      </c>
      <c r="N48" s="24" t="s">
        <v>477</v>
      </c>
      <c r="O48" s="15">
        <f>VLOOKUP(N48,Select!D:H,5,FALSE)</f>
        <v>0</v>
      </c>
    </row>
    <row r="49" spans="1:15">
      <c r="A49" s="23">
        <v>100312</v>
      </c>
      <c r="B49" s="5" t="s">
        <v>22</v>
      </c>
      <c r="C49" s="6">
        <f>VLOOKUP(B49,Select!A:H,8,FALSE)</f>
        <v>3</v>
      </c>
      <c r="D49" s="5" t="s">
        <v>10</v>
      </c>
      <c r="E49" s="6">
        <f>VLOOKUP(D49,Select!B:H,7,FALSE)</f>
        <v>0</v>
      </c>
      <c r="F49" s="5" t="s">
        <v>3</v>
      </c>
      <c r="G49" s="6">
        <f>VLOOKUP(F49,Select!C:H,6,FALSE)</f>
        <v>0</v>
      </c>
      <c r="H49" s="24" t="s">
        <v>231</v>
      </c>
      <c r="I49" s="24">
        <v>2</v>
      </c>
      <c r="J49" s="24">
        <v>2</v>
      </c>
      <c r="K49" s="24">
        <v>2</v>
      </c>
      <c r="L49" s="24"/>
      <c r="M49" s="24" t="b">
        <v>1</v>
      </c>
      <c r="N49" s="24" t="s">
        <v>477</v>
      </c>
      <c r="O49" s="15">
        <f>VLOOKUP(N49,Select!D:H,5,FALSE)</f>
        <v>0</v>
      </c>
    </row>
    <row r="50" spans="1:15">
      <c r="A50" s="23">
        <v>100400</v>
      </c>
      <c r="B50" s="1" t="s">
        <v>26</v>
      </c>
      <c r="C50" s="6">
        <f>VLOOKUP(B50,Select!A:H,8,FALSE)</f>
        <v>4</v>
      </c>
      <c r="D50" s="1" t="s">
        <v>10</v>
      </c>
      <c r="E50" s="6">
        <f>VLOOKUP(D50,Select!B:H,7,FALSE)</f>
        <v>0</v>
      </c>
      <c r="F50" s="1" t="s">
        <v>3</v>
      </c>
      <c r="G50" s="6">
        <f>VLOOKUP(F50,Select!C:H,6,FALSE)</f>
        <v>0</v>
      </c>
      <c r="H50" s="24" t="s">
        <v>521</v>
      </c>
      <c r="I50" s="24">
        <v>2</v>
      </c>
      <c r="J50" s="24">
        <v>2</v>
      </c>
      <c r="K50" s="24">
        <v>2</v>
      </c>
      <c r="L50" s="24"/>
      <c r="M50" s="24" t="b">
        <v>0</v>
      </c>
      <c r="N50" s="24" t="s">
        <v>477</v>
      </c>
      <c r="O50" s="15">
        <f>VLOOKUP(N50,Select!D:H,5,FALSE)</f>
        <v>0</v>
      </c>
    </row>
    <row r="51" spans="1:15">
      <c r="A51" s="23">
        <v>100401</v>
      </c>
      <c r="B51" s="5" t="s">
        <v>26</v>
      </c>
      <c r="C51" s="6">
        <f>VLOOKUP(B51,Select!A:H,8,FALSE)</f>
        <v>4</v>
      </c>
      <c r="D51" s="5" t="s">
        <v>10</v>
      </c>
      <c r="E51" s="6">
        <f>VLOOKUP(D51,Select!B:H,7,FALSE)</f>
        <v>0</v>
      </c>
      <c r="F51" s="5" t="s">
        <v>3</v>
      </c>
      <c r="G51" s="6">
        <f>VLOOKUP(F51,Select!C:H,6,FALSE)</f>
        <v>0</v>
      </c>
      <c r="H51" s="24" t="s">
        <v>522</v>
      </c>
      <c r="I51" s="24">
        <v>3</v>
      </c>
      <c r="J51" s="24">
        <v>2</v>
      </c>
      <c r="K51" s="24">
        <v>3</v>
      </c>
      <c r="L51" s="24"/>
      <c r="M51" s="24" t="b">
        <v>0</v>
      </c>
      <c r="N51" s="24" t="s">
        <v>477</v>
      </c>
      <c r="O51" s="15">
        <f>VLOOKUP(N51,Select!D:H,5,FALSE)</f>
        <v>0</v>
      </c>
    </row>
    <row r="52" spans="1:15">
      <c r="A52" s="23">
        <v>100402</v>
      </c>
      <c r="B52" s="1" t="s">
        <v>26</v>
      </c>
      <c r="C52" s="6">
        <f>VLOOKUP(B52,Select!A:H,8,FALSE)</f>
        <v>4</v>
      </c>
      <c r="D52" s="1" t="s">
        <v>10</v>
      </c>
      <c r="E52" s="6">
        <f>VLOOKUP(D52,Select!B:H,7,FALSE)</f>
        <v>0</v>
      </c>
      <c r="F52" s="1" t="s">
        <v>3</v>
      </c>
      <c r="G52" s="6">
        <f>VLOOKUP(F52,Select!C:H,6,FALSE)</f>
        <v>0</v>
      </c>
      <c r="H52" s="24" t="s">
        <v>523</v>
      </c>
      <c r="I52" s="24">
        <v>4</v>
      </c>
      <c r="J52" s="24">
        <v>4</v>
      </c>
      <c r="K52" s="24">
        <v>4</v>
      </c>
      <c r="L52" s="24"/>
      <c r="M52" s="24" t="b">
        <v>0</v>
      </c>
      <c r="N52" s="24" t="s">
        <v>477</v>
      </c>
      <c r="O52" s="15">
        <f>VLOOKUP(N52,Select!D:H,5,FALSE)</f>
        <v>0</v>
      </c>
    </row>
    <row r="53" spans="1:15">
      <c r="A53" s="23">
        <v>100403</v>
      </c>
      <c r="B53" s="5" t="s">
        <v>26</v>
      </c>
      <c r="C53" s="6">
        <f>VLOOKUP(B53,Select!A:H,8,FALSE)</f>
        <v>4</v>
      </c>
      <c r="D53" s="5" t="s">
        <v>10</v>
      </c>
      <c r="E53" s="6">
        <f>VLOOKUP(D53,Select!B:H,7,FALSE)</f>
        <v>0</v>
      </c>
      <c r="F53" s="5" t="s">
        <v>3</v>
      </c>
      <c r="G53" s="6">
        <f>VLOOKUP(F53,Select!C:H,6,FALSE)</f>
        <v>0</v>
      </c>
      <c r="H53" s="24" t="s">
        <v>524</v>
      </c>
      <c r="I53" s="24">
        <v>5</v>
      </c>
      <c r="J53" s="24">
        <v>4</v>
      </c>
      <c r="K53" s="24">
        <v>5</v>
      </c>
      <c r="L53" s="24"/>
      <c r="M53" s="24" t="b">
        <v>0</v>
      </c>
      <c r="N53" s="24" t="s">
        <v>477</v>
      </c>
      <c r="O53" s="15">
        <f>VLOOKUP(N53,Select!D:H,5,FALSE)</f>
        <v>0</v>
      </c>
    </row>
    <row r="54" spans="1:15">
      <c r="A54" s="23">
        <v>100404</v>
      </c>
      <c r="B54" s="1" t="s">
        <v>26</v>
      </c>
      <c r="C54" s="6">
        <f>VLOOKUP(B54,Select!A:H,8,FALSE)</f>
        <v>4</v>
      </c>
      <c r="D54" s="1" t="s">
        <v>10</v>
      </c>
      <c r="E54" s="6">
        <f>VLOOKUP(D54,Select!B:H,7,FALSE)</f>
        <v>0</v>
      </c>
      <c r="F54" s="1" t="s">
        <v>3</v>
      </c>
      <c r="G54" s="6">
        <f>VLOOKUP(F54,Select!C:H,6,FALSE)</f>
        <v>0</v>
      </c>
      <c r="H54" s="24" t="s">
        <v>525</v>
      </c>
      <c r="I54" s="24">
        <v>6</v>
      </c>
      <c r="J54" s="24">
        <v>5</v>
      </c>
      <c r="K54" s="24">
        <v>6</v>
      </c>
      <c r="L54" s="24"/>
      <c r="M54" s="24" t="b">
        <v>0</v>
      </c>
      <c r="N54" s="24" t="s">
        <v>477</v>
      </c>
      <c r="O54" s="15">
        <f>VLOOKUP(N54,Select!D:H,5,FALSE)</f>
        <v>0</v>
      </c>
    </row>
    <row r="55" spans="1:15">
      <c r="A55" s="23">
        <v>100405</v>
      </c>
      <c r="B55" s="5" t="s">
        <v>26</v>
      </c>
      <c r="C55" s="6">
        <f>VLOOKUP(B55,Select!A:H,8,FALSE)</f>
        <v>4</v>
      </c>
      <c r="D55" s="5" t="s">
        <v>10</v>
      </c>
      <c r="E55" s="6">
        <f>VLOOKUP(D55,Select!B:H,7,FALSE)</f>
        <v>0</v>
      </c>
      <c r="F55" s="5" t="s">
        <v>23</v>
      </c>
      <c r="G55" s="6">
        <f>VLOOKUP(F55,Select!C:H,6,FALSE)</f>
        <v>1</v>
      </c>
      <c r="H55" s="24" t="s">
        <v>526</v>
      </c>
      <c r="I55" s="24">
        <v>1</v>
      </c>
      <c r="J55" s="24"/>
      <c r="K55" s="24"/>
      <c r="L55" s="24"/>
      <c r="M55" s="24" t="b">
        <v>0</v>
      </c>
      <c r="N55" s="24" t="s">
        <v>477</v>
      </c>
      <c r="O55" s="15">
        <f>VLOOKUP(N55,Select!D:H,5,FALSE)</f>
        <v>0</v>
      </c>
    </row>
    <row r="56" spans="1:15">
      <c r="A56" s="23">
        <v>100406</v>
      </c>
      <c r="B56" s="1" t="s">
        <v>26</v>
      </c>
      <c r="C56" s="6">
        <f>VLOOKUP(B56,Select!A:H,8,FALSE)</f>
        <v>4</v>
      </c>
      <c r="D56" s="1" t="s">
        <v>10</v>
      </c>
      <c r="E56" s="6">
        <f>VLOOKUP(D56,Select!B:H,7,FALSE)</f>
        <v>0</v>
      </c>
      <c r="F56" s="1" t="s">
        <v>23</v>
      </c>
      <c r="G56" s="6">
        <f>VLOOKUP(F56,Select!C:H,6,FALSE)</f>
        <v>1</v>
      </c>
      <c r="H56" s="24" t="s">
        <v>527</v>
      </c>
      <c r="I56" s="24">
        <v>2</v>
      </c>
      <c r="J56" s="24"/>
      <c r="K56" s="24"/>
      <c r="L56" s="24"/>
      <c r="M56" s="24" t="b">
        <v>0</v>
      </c>
      <c r="N56" s="24" t="s">
        <v>477</v>
      </c>
      <c r="O56" s="15">
        <f>VLOOKUP(N56,Select!D:H,5,FALSE)</f>
        <v>0</v>
      </c>
    </row>
    <row r="57" spans="1:15">
      <c r="A57" s="23">
        <v>100407</v>
      </c>
      <c r="B57" s="5" t="s">
        <v>26</v>
      </c>
      <c r="C57" s="6">
        <f>VLOOKUP(B57,Select!A:H,8,FALSE)</f>
        <v>4</v>
      </c>
      <c r="D57" s="5" t="s">
        <v>10</v>
      </c>
      <c r="E57" s="6">
        <f>VLOOKUP(D57,Select!B:H,7,FALSE)</f>
        <v>0</v>
      </c>
      <c r="F57" s="5" t="s">
        <v>23</v>
      </c>
      <c r="G57" s="6">
        <f>VLOOKUP(F57,Select!C:H,6,FALSE)</f>
        <v>1</v>
      </c>
      <c r="H57" s="24" t="s">
        <v>528</v>
      </c>
      <c r="I57" s="24">
        <v>4</v>
      </c>
      <c r="J57" s="24"/>
      <c r="K57" s="24"/>
      <c r="L57" s="24"/>
      <c r="M57" s="24" t="b">
        <v>0</v>
      </c>
      <c r="N57" s="24" t="s">
        <v>477</v>
      </c>
      <c r="O57" s="15">
        <f>VLOOKUP(N57,Select!D:H,5,FALSE)</f>
        <v>0</v>
      </c>
    </row>
    <row r="58" spans="1:15">
      <c r="A58" s="23">
        <v>100408</v>
      </c>
      <c r="B58" s="1" t="s">
        <v>26</v>
      </c>
      <c r="C58" s="6">
        <f>VLOOKUP(B58,Select!A:H,8,FALSE)</f>
        <v>4</v>
      </c>
      <c r="D58" s="1" t="s">
        <v>36</v>
      </c>
      <c r="E58" s="6">
        <f>VLOOKUP(D58,Select!B:H,7,FALSE)</f>
        <v>1</v>
      </c>
      <c r="F58" s="1" t="s">
        <v>3</v>
      </c>
      <c r="G58" s="6">
        <f>VLOOKUP(F58,Select!C:H,6,FALSE)</f>
        <v>0</v>
      </c>
      <c r="H58" s="24" t="s">
        <v>529</v>
      </c>
      <c r="I58" s="24">
        <v>4</v>
      </c>
      <c r="J58" s="24">
        <v>3</v>
      </c>
      <c r="K58" s="24">
        <v>4</v>
      </c>
      <c r="L58" s="24"/>
      <c r="M58" s="24" t="b">
        <v>0</v>
      </c>
      <c r="N58" s="24" t="s">
        <v>477</v>
      </c>
      <c r="O58" s="15">
        <f>VLOOKUP(N58,Select!D:H,5,FALSE)</f>
        <v>0</v>
      </c>
    </row>
    <row r="59" spans="1:15">
      <c r="A59" s="23">
        <v>100409</v>
      </c>
      <c r="B59" s="5" t="s">
        <v>26</v>
      </c>
      <c r="C59" s="6">
        <f>VLOOKUP(B59,Select!A:H,8,FALSE)</f>
        <v>4</v>
      </c>
      <c r="D59" s="5" t="s">
        <v>36</v>
      </c>
      <c r="E59" s="6">
        <f>VLOOKUP(D59,Select!B:H,7,FALSE)</f>
        <v>1</v>
      </c>
      <c r="F59" s="5" t="s">
        <v>3</v>
      </c>
      <c r="G59" s="6">
        <f>VLOOKUP(F59,Select!C:H,6,FALSE)</f>
        <v>0</v>
      </c>
      <c r="H59" s="24" t="s">
        <v>530</v>
      </c>
      <c r="I59" s="24">
        <v>7</v>
      </c>
      <c r="J59" s="24">
        <v>4</v>
      </c>
      <c r="K59" s="24">
        <v>4</v>
      </c>
      <c r="L59" s="24"/>
      <c r="M59" s="24" t="b">
        <v>0</v>
      </c>
      <c r="N59" s="24" t="s">
        <v>477</v>
      </c>
      <c r="O59" s="15">
        <f>VLOOKUP(N59,Select!D:H,5,FALSE)</f>
        <v>0</v>
      </c>
    </row>
    <row r="60" spans="1:15">
      <c r="A60" s="23">
        <v>100410</v>
      </c>
      <c r="B60" s="1" t="s">
        <v>26</v>
      </c>
      <c r="C60" s="6">
        <f>VLOOKUP(B60,Select!A:H,8,FALSE)</f>
        <v>4</v>
      </c>
      <c r="D60" s="1" t="s">
        <v>36</v>
      </c>
      <c r="E60" s="6">
        <f>VLOOKUP(D60,Select!B:H,7,FALSE)</f>
        <v>1</v>
      </c>
      <c r="F60" s="1" t="s">
        <v>23</v>
      </c>
      <c r="G60" s="6">
        <f>VLOOKUP(F60,Select!C:H,6,FALSE)</f>
        <v>1</v>
      </c>
      <c r="H60" s="24" t="s">
        <v>531</v>
      </c>
      <c r="I60" s="24">
        <v>7</v>
      </c>
      <c r="J60" s="24"/>
      <c r="K60" s="24"/>
      <c r="L60" s="24"/>
      <c r="M60" s="24" t="b">
        <v>0</v>
      </c>
      <c r="N60" s="24" t="s">
        <v>477</v>
      </c>
      <c r="O60" s="15">
        <f>VLOOKUP(N60,Select!D:H,5,FALSE)</f>
        <v>0</v>
      </c>
    </row>
    <row r="61" spans="1:15">
      <c r="A61" s="23">
        <v>100500</v>
      </c>
      <c r="B61" s="5" t="s">
        <v>534</v>
      </c>
      <c r="C61" s="6">
        <f>VLOOKUP(B61,Select!A:H,8,FALSE)</f>
        <v>8</v>
      </c>
      <c r="D61" s="5" t="s">
        <v>10</v>
      </c>
      <c r="E61" s="6">
        <f>VLOOKUP(D61,Select!B:H,7,FALSE)</f>
        <v>0</v>
      </c>
      <c r="F61" s="5" t="s">
        <v>3</v>
      </c>
      <c r="G61" s="6">
        <f>VLOOKUP(F61,Select!C:H,6,FALSE)</f>
        <v>0</v>
      </c>
      <c r="H61" s="24" t="s">
        <v>536</v>
      </c>
      <c r="I61" s="24">
        <v>2</v>
      </c>
      <c r="J61" s="24">
        <v>2</v>
      </c>
      <c r="K61" s="24">
        <v>2</v>
      </c>
      <c r="L61" s="24"/>
      <c r="M61" s="24" t="b">
        <v>0</v>
      </c>
      <c r="N61" s="24" t="s">
        <v>477</v>
      </c>
      <c r="O61" s="15">
        <f>VLOOKUP(N61,Select!D:H,5,FALSE)</f>
        <v>0</v>
      </c>
    </row>
    <row r="62" spans="1:15">
      <c r="A62" s="23">
        <v>100501</v>
      </c>
      <c r="B62" s="1" t="s">
        <v>534</v>
      </c>
      <c r="C62" s="6">
        <f>VLOOKUP(B62,Select!A:H,8,FALSE)</f>
        <v>8</v>
      </c>
      <c r="D62" s="1" t="s">
        <v>10</v>
      </c>
      <c r="E62" s="6">
        <f>VLOOKUP(D62,Select!B:H,7,FALSE)</f>
        <v>0</v>
      </c>
      <c r="F62" s="1" t="s">
        <v>3</v>
      </c>
      <c r="G62" s="6">
        <f>VLOOKUP(F62,Select!C:H,6,FALSE)</f>
        <v>0</v>
      </c>
      <c r="H62" s="24" t="s">
        <v>537</v>
      </c>
      <c r="I62" s="24">
        <v>2</v>
      </c>
      <c r="J62" s="24">
        <v>2</v>
      </c>
      <c r="K62" s="24">
        <v>1</v>
      </c>
      <c r="L62" s="24"/>
      <c r="M62" s="24" t="b">
        <v>0</v>
      </c>
      <c r="N62" s="24" t="s">
        <v>477</v>
      </c>
      <c r="O62" s="15">
        <f>VLOOKUP(N62,Select!D:H,5,FALSE)</f>
        <v>0</v>
      </c>
    </row>
    <row r="63" spans="1:15">
      <c r="A63" s="23">
        <v>100502</v>
      </c>
      <c r="B63" s="5" t="s">
        <v>534</v>
      </c>
      <c r="C63" s="6">
        <f>VLOOKUP(B63,Select!A:H,8,FALSE)</f>
        <v>8</v>
      </c>
      <c r="D63" s="5" t="s">
        <v>10</v>
      </c>
      <c r="E63" s="6">
        <f>VLOOKUP(D63,Select!B:H,7,FALSE)</f>
        <v>0</v>
      </c>
      <c r="F63" s="5" t="s">
        <v>3</v>
      </c>
      <c r="G63" s="6">
        <f>VLOOKUP(F63,Select!C:H,6,FALSE)</f>
        <v>0</v>
      </c>
      <c r="H63" s="24" t="s">
        <v>538</v>
      </c>
      <c r="I63" s="24">
        <v>3</v>
      </c>
      <c r="J63" s="24">
        <v>2</v>
      </c>
      <c r="K63" s="24">
        <v>3</v>
      </c>
      <c r="L63" s="24"/>
      <c r="M63" s="24" t="b">
        <v>0</v>
      </c>
      <c r="N63" s="24" t="s">
        <v>477</v>
      </c>
      <c r="O63" s="15">
        <f>VLOOKUP(N63,Select!D:H,5,FALSE)</f>
        <v>0</v>
      </c>
    </row>
    <row r="64" spans="1:15">
      <c r="A64" s="23">
        <v>100503</v>
      </c>
      <c r="B64" s="1" t="s">
        <v>534</v>
      </c>
      <c r="C64" s="6">
        <f>VLOOKUP(B64,Select!A:H,8,FALSE)</f>
        <v>8</v>
      </c>
      <c r="D64" s="1" t="s">
        <v>10</v>
      </c>
      <c r="E64" s="6">
        <f>VLOOKUP(D64,Select!B:H,7,FALSE)</f>
        <v>0</v>
      </c>
      <c r="F64" s="1" t="s">
        <v>3</v>
      </c>
      <c r="G64" s="6">
        <f>VLOOKUP(F64,Select!C:H,6,FALSE)</f>
        <v>0</v>
      </c>
      <c r="H64" s="24" t="s">
        <v>539</v>
      </c>
      <c r="I64" s="24">
        <v>4</v>
      </c>
      <c r="J64" s="24">
        <v>4</v>
      </c>
      <c r="K64" s="24">
        <v>3</v>
      </c>
      <c r="L64" s="24"/>
      <c r="M64" s="24" t="b">
        <v>0</v>
      </c>
      <c r="N64" s="24" t="s">
        <v>477</v>
      </c>
      <c r="O64" s="15">
        <f>VLOOKUP(N64,Select!D:H,5,FALSE)</f>
        <v>0</v>
      </c>
    </row>
    <row r="65" spans="1:15">
      <c r="A65" s="23">
        <v>100504</v>
      </c>
      <c r="B65" s="5" t="s">
        <v>534</v>
      </c>
      <c r="C65" s="6">
        <f>VLOOKUP(B65,Select!A:H,8,FALSE)</f>
        <v>8</v>
      </c>
      <c r="D65" s="5" t="s">
        <v>10</v>
      </c>
      <c r="E65" s="6">
        <f>VLOOKUP(D65,Select!B:H,7,FALSE)</f>
        <v>0</v>
      </c>
      <c r="F65" s="5" t="s">
        <v>3</v>
      </c>
      <c r="G65" s="6">
        <f>VLOOKUP(F65,Select!C:H,6,FALSE)</f>
        <v>0</v>
      </c>
      <c r="H65" s="24" t="s">
        <v>540</v>
      </c>
      <c r="I65" s="24">
        <v>5</v>
      </c>
      <c r="J65" s="24">
        <v>3</v>
      </c>
      <c r="K65" s="24">
        <v>3</v>
      </c>
      <c r="L65" s="24"/>
      <c r="M65" s="24" t="b">
        <v>0</v>
      </c>
      <c r="N65" s="24" t="s">
        <v>477</v>
      </c>
      <c r="O65" s="15">
        <f>VLOOKUP(N65,Select!D:H,5,FALSE)</f>
        <v>0</v>
      </c>
    </row>
    <row r="66" spans="1:15">
      <c r="A66" s="23">
        <v>100505</v>
      </c>
      <c r="B66" s="1" t="s">
        <v>534</v>
      </c>
      <c r="C66" s="6">
        <f>VLOOKUP(B66,Select!A:H,8,FALSE)</f>
        <v>8</v>
      </c>
      <c r="D66" s="1" t="s">
        <v>10</v>
      </c>
      <c r="E66" s="6">
        <f>VLOOKUP(D66,Select!B:H,7,FALSE)</f>
        <v>0</v>
      </c>
      <c r="F66" s="1" t="s">
        <v>3</v>
      </c>
      <c r="G66" s="6">
        <f>VLOOKUP(F66,Select!C:H,6,FALSE)</f>
        <v>0</v>
      </c>
      <c r="H66" s="24" t="s">
        <v>541</v>
      </c>
      <c r="I66" s="24">
        <v>6</v>
      </c>
      <c r="J66" s="24">
        <v>5</v>
      </c>
      <c r="K66" s="24">
        <v>5</v>
      </c>
      <c r="L66" s="24"/>
      <c r="M66" s="24" t="b">
        <v>0</v>
      </c>
      <c r="N66" s="24" t="s">
        <v>477</v>
      </c>
      <c r="O66" s="15">
        <f>VLOOKUP(N66,Select!D:H,5,FALSE)</f>
        <v>0</v>
      </c>
    </row>
    <row r="67" spans="1:15">
      <c r="A67" s="23">
        <v>100506</v>
      </c>
      <c r="B67" s="5" t="s">
        <v>534</v>
      </c>
      <c r="C67" s="6">
        <f>VLOOKUP(B67,Select!A:H,8,FALSE)</f>
        <v>8</v>
      </c>
      <c r="D67" s="5" t="s">
        <v>10</v>
      </c>
      <c r="E67" s="6">
        <f>VLOOKUP(D67,Select!B:H,7,FALSE)</f>
        <v>0</v>
      </c>
      <c r="F67" s="5" t="s">
        <v>23</v>
      </c>
      <c r="G67" s="6">
        <f>VLOOKUP(F67,Select!C:H,6,FALSE)</f>
        <v>1</v>
      </c>
      <c r="H67" s="24" t="s">
        <v>542</v>
      </c>
      <c r="I67" s="24">
        <v>2</v>
      </c>
      <c r="J67" s="24"/>
      <c r="K67" s="24"/>
      <c r="L67" s="24"/>
      <c r="M67" s="24" t="b">
        <v>0</v>
      </c>
      <c r="N67" s="24" t="s">
        <v>477</v>
      </c>
      <c r="O67" s="15">
        <f>VLOOKUP(N67,Select!D:H,5,FALSE)</f>
        <v>0</v>
      </c>
    </row>
    <row r="68" spans="1:15">
      <c r="A68" s="23">
        <v>100507</v>
      </c>
      <c r="B68" s="1" t="s">
        <v>534</v>
      </c>
      <c r="C68" s="6">
        <f>VLOOKUP(B68,Select!A:H,8,FALSE)</f>
        <v>8</v>
      </c>
      <c r="D68" s="1" t="s">
        <v>10</v>
      </c>
      <c r="E68" s="6">
        <f>VLOOKUP(D68,Select!B:H,7,FALSE)</f>
        <v>0</v>
      </c>
      <c r="F68" s="1" t="s">
        <v>23</v>
      </c>
      <c r="G68" s="6">
        <f>VLOOKUP(F68,Select!C:H,6,FALSE)</f>
        <v>1</v>
      </c>
      <c r="H68" s="24" t="s">
        <v>543</v>
      </c>
      <c r="I68" s="24">
        <v>4</v>
      </c>
      <c r="J68" s="24"/>
      <c r="K68" s="24"/>
      <c r="L68" s="24"/>
      <c r="M68" s="24" t="b">
        <v>0</v>
      </c>
      <c r="N68" s="24" t="s">
        <v>477</v>
      </c>
      <c r="O68" s="15">
        <f>VLOOKUP(N68,Select!D:H,5,FALSE)</f>
        <v>0</v>
      </c>
    </row>
    <row r="69" spans="1:15">
      <c r="A69" s="23">
        <v>100508</v>
      </c>
      <c r="B69" s="5" t="s">
        <v>534</v>
      </c>
      <c r="C69" s="6">
        <f>VLOOKUP(B69,Select!A:H,8,FALSE)</f>
        <v>8</v>
      </c>
      <c r="D69" s="5" t="s">
        <v>36</v>
      </c>
      <c r="E69" s="6">
        <f>VLOOKUP(D69,Select!B:H,7,FALSE)</f>
        <v>1</v>
      </c>
      <c r="F69" s="5" t="s">
        <v>3</v>
      </c>
      <c r="G69" s="6">
        <f>VLOOKUP(F69,Select!C:H,6,FALSE)</f>
        <v>0</v>
      </c>
      <c r="H69" s="24" t="s">
        <v>544</v>
      </c>
      <c r="I69" s="24">
        <v>4</v>
      </c>
      <c r="J69" s="24">
        <v>4</v>
      </c>
      <c r="K69" s="24">
        <v>3</v>
      </c>
      <c r="L69" s="24"/>
      <c r="M69" s="24" t="b">
        <v>0</v>
      </c>
      <c r="N69" s="24" t="s">
        <v>477</v>
      </c>
      <c r="O69" s="15">
        <f>VLOOKUP(N69,Select!D:H,5,FALSE)</f>
        <v>0</v>
      </c>
    </row>
    <row r="70" spans="1:15">
      <c r="A70" s="23">
        <v>100509</v>
      </c>
      <c r="B70" s="1" t="s">
        <v>534</v>
      </c>
      <c r="C70" s="6">
        <f>VLOOKUP(B70,Select!A:H,8,FALSE)</f>
        <v>8</v>
      </c>
      <c r="D70" s="1" t="s">
        <v>36</v>
      </c>
      <c r="E70" s="6">
        <f>VLOOKUP(D70,Select!B:H,7,FALSE)</f>
        <v>1</v>
      </c>
      <c r="F70" s="1" t="s">
        <v>3</v>
      </c>
      <c r="G70" s="6">
        <f>VLOOKUP(F70,Select!C:H,6,FALSE)</f>
        <v>0</v>
      </c>
      <c r="H70" s="24" t="s">
        <v>545</v>
      </c>
      <c r="I70" s="24">
        <v>4</v>
      </c>
      <c r="J70" s="24">
        <v>1</v>
      </c>
      <c r="K70" s="24">
        <v>1</v>
      </c>
      <c r="L70" s="24"/>
      <c r="M70" s="24" t="b">
        <v>0</v>
      </c>
      <c r="N70" s="24" t="s">
        <v>477</v>
      </c>
      <c r="O70" s="15">
        <f>VLOOKUP(N70,Select!D:H,5,FALSE)</f>
        <v>0</v>
      </c>
    </row>
    <row r="71" spans="1:15">
      <c r="A71" s="23">
        <v>100510</v>
      </c>
      <c r="B71" s="5" t="s">
        <v>534</v>
      </c>
      <c r="C71" s="6">
        <f>VLOOKUP(B71,Select!A:H,8,FALSE)</f>
        <v>8</v>
      </c>
      <c r="D71" s="5" t="s">
        <v>36</v>
      </c>
      <c r="E71" s="6">
        <f>VLOOKUP(D71,Select!B:H,7,FALSE)</f>
        <v>1</v>
      </c>
      <c r="F71" s="5" t="s">
        <v>3</v>
      </c>
      <c r="G71" s="6">
        <f>VLOOKUP(F71,Select!C:H,6,FALSE)</f>
        <v>0</v>
      </c>
      <c r="H71" s="24" t="s">
        <v>546</v>
      </c>
      <c r="I71" s="24">
        <v>7</v>
      </c>
      <c r="J71" s="24">
        <v>4</v>
      </c>
      <c r="K71" s="24">
        <v>4</v>
      </c>
      <c r="L71" s="24"/>
      <c r="M71" s="24" t="b">
        <v>0</v>
      </c>
      <c r="N71" s="24" t="s">
        <v>477</v>
      </c>
      <c r="O71" s="15">
        <f>VLOOKUP(N71,Select!D:H,5,FALSE)</f>
        <v>0</v>
      </c>
    </row>
    <row r="72" spans="1:15">
      <c r="A72" s="23">
        <v>100511</v>
      </c>
      <c r="B72" s="1" t="s">
        <v>534</v>
      </c>
      <c r="C72" s="6">
        <f>VLOOKUP(B72,Select!A:H,8,FALSE)</f>
        <v>8</v>
      </c>
      <c r="D72" s="1" t="s">
        <v>10</v>
      </c>
      <c r="E72" s="6">
        <f>VLOOKUP(D72,Select!B:H,7,FALSE)</f>
        <v>0</v>
      </c>
      <c r="F72" s="1" t="s">
        <v>3</v>
      </c>
      <c r="G72" s="6">
        <f>VLOOKUP(F72,Select!C:H,6,FALSE)</f>
        <v>0</v>
      </c>
      <c r="H72" s="24" t="s">
        <v>236</v>
      </c>
      <c r="I72" s="24">
        <v>1</v>
      </c>
      <c r="J72" s="24">
        <v>1</v>
      </c>
      <c r="K72" s="24">
        <v>1</v>
      </c>
      <c r="L72" s="24"/>
      <c r="M72" s="24" t="b">
        <v>1</v>
      </c>
      <c r="N72" s="24" t="s">
        <v>477</v>
      </c>
      <c r="O72" s="15">
        <f>VLOOKUP(N72,Select!D:H,5,FALSE)</f>
        <v>0</v>
      </c>
    </row>
    <row r="73" spans="1:15">
      <c r="A73" s="23">
        <v>100512</v>
      </c>
      <c r="B73" s="5" t="s">
        <v>534</v>
      </c>
      <c r="C73" s="6">
        <f>VLOOKUP(B73,Select!A:H,8,FALSE)</f>
        <v>8</v>
      </c>
      <c r="D73" s="5" t="s">
        <v>10</v>
      </c>
      <c r="E73" s="6">
        <f>VLOOKUP(D73,Select!B:H,7,FALSE)</f>
        <v>0</v>
      </c>
      <c r="F73" s="5" t="s">
        <v>3</v>
      </c>
      <c r="G73" s="6">
        <f>VLOOKUP(F73,Select!C:H,6,FALSE)</f>
        <v>0</v>
      </c>
      <c r="H73" s="24" t="s">
        <v>547</v>
      </c>
      <c r="I73" s="24">
        <v>2</v>
      </c>
      <c r="J73" s="24">
        <v>2</v>
      </c>
      <c r="K73" s="24">
        <v>2</v>
      </c>
      <c r="L73" s="24"/>
      <c r="M73" s="24" t="b">
        <v>1</v>
      </c>
      <c r="N73" s="24" t="s">
        <v>477</v>
      </c>
      <c r="O73" s="15">
        <f>VLOOKUP(N73,Select!D:H,5,FALSE)</f>
        <v>0</v>
      </c>
    </row>
    <row r="74" spans="1:15">
      <c r="A74" s="23">
        <v>100513</v>
      </c>
      <c r="B74" s="1" t="s">
        <v>534</v>
      </c>
      <c r="C74" s="6">
        <f>VLOOKUP(B74,Select!A:H,8,FALSE)</f>
        <v>8</v>
      </c>
      <c r="D74" s="1" t="s">
        <v>10</v>
      </c>
      <c r="E74" s="6">
        <f>VLOOKUP(D74,Select!B:H,7,FALSE)</f>
        <v>0</v>
      </c>
      <c r="F74" s="1" t="s">
        <v>3</v>
      </c>
      <c r="G74" s="6">
        <f>VLOOKUP(F74,Select!C:H,6,FALSE)</f>
        <v>0</v>
      </c>
      <c r="H74" s="24" t="s">
        <v>548</v>
      </c>
      <c r="I74" s="24">
        <v>4</v>
      </c>
      <c r="J74" s="24">
        <v>4</v>
      </c>
      <c r="K74" s="24">
        <v>4</v>
      </c>
      <c r="L74" s="24"/>
      <c r="M74" s="24" t="b">
        <v>1</v>
      </c>
      <c r="N74" s="24" t="s">
        <v>477</v>
      </c>
      <c r="O74" s="15">
        <f>VLOOKUP(N74,Select!D:H,5,FALSE)</f>
        <v>0</v>
      </c>
    </row>
    <row r="75" spans="1:15">
      <c r="A75" s="23">
        <v>100600</v>
      </c>
      <c r="B75" s="5" t="s">
        <v>532</v>
      </c>
      <c r="C75" s="6">
        <f>VLOOKUP(B75,Select!A:H,8,FALSE)</f>
        <v>9</v>
      </c>
      <c r="D75" s="5" t="s">
        <v>10</v>
      </c>
      <c r="E75" s="6">
        <f>VLOOKUP(D75,Select!B:H,7,FALSE)</f>
        <v>0</v>
      </c>
      <c r="F75" s="5" t="s">
        <v>3</v>
      </c>
      <c r="G75" s="6">
        <f>VLOOKUP(F75,Select!C:H,6,FALSE)</f>
        <v>0</v>
      </c>
      <c r="H75" s="24" t="s">
        <v>549</v>
      </c>
      <c r="I75" s="24">
        <v>2</v>
      </c>
      <c r="J75" s="24">
        <v>2</v>
      </c>
      <c r="K75" s="24">
        <v>2</v>
      </c>
      <c r="L75" s="24"/>
      <c r="M75" s="24" t="b">
        <v>0</v>
      </c>
      <c r="N75" s="24" t="s">
        <v>477</v>
      </c>
      <c r="O75" s="15">
        <f>VLOOKUP(N75,Select!D:H,5,FALSE)</f>
        <v>0</v>
      </c>
    </row>
    <row r="76" spans="1:15">
      <c r="A76" s="23">
        <v>100601</v>
      </c>
      <c r="B76" s="1" t="s">
        <v>532</v>
      </c>
      <c r="C76" s="6">
        <f>VLOOKUP(B76,Select!A:H,8,FALSE)</f>
        <v>9</v>
      </c>
      <c r="D76" s="1" t="s">
        <v>10</v>
      </c>
      <c r="E76" s="6">
        <f>VLOOKUP(D76,Select!B:H,7,FALSE)</f>
        <v>0</v>
      </c>
      <c r="F76" s="1" t="s">
        <v>3</v>
      </c>
      <c r="G76" s="6">
        <f>VLOOKUP(F76,Select!C:H,6,FALSE)</f>
        <v>0</v>
      </c>
      <c r="H76" s="24" t="s">
        <v>550</v>
      </c>
      <c r="I76" s="24">
        <v>2</v>
      </c>
      <c r="J76" s="24">
        <v>1</v>
      </c>
      <c r="K76" s="24">
        <v>3</v>
      </c>
      <c r="L76" s="24"/>
      <c r="M76" s="24" t="b">
        <v>0</v>
      </c>
      <c r="N76" s="24" t="s">
        <v>477</v>
      </c>
      <c r="O76" s="15">
        <f>VLOOKUP(N76,Select!D:H,5,FALSE)</f>
        <v>0</v>
      </c>
    </row>
    <row r="77" spans="1:15">
      <c r="A77" s="23">
        <v>100602</v>
      </c>
      <c r="B77" s="5" t="s">
        <v>532</v>
      </c>
      <c r="C77" s="6">
        <f>VLOOKUP(B77,Select!A:H,8,FALSE)</f>
        <v>9</v>
      </c>
      <c r="D77" s="5" t="s">
        <v>10</v>
      </c>
      <c r="E77" s="6">
        <f>VLOOKUP(D77,Select!B:H,7,FALSE)</f>
        <v>0</v>
      </c>
      <c r="F77" s="5" t="s">
        <v>3</v>
      </c>
      <c r="G77" s="6">
        <f>VLOOKUP(F77,Select!C:H,6,FALSE)</f>
        <v>0</v>
      </c>
      <c r="H77" s="24" t="s">
        <v>551</v>
      </c>
      <c r="I77" s="24">
        <v>3</v>
      </c>
      <c r="J77" s="24">
        <v>3</v>
      </c>
      <c r="K77" s="24">
        <v>3</v>
      </c>
      <c r="L77" s="24"/>
      <c r="M77" s="24" t="b">
        <v>0</v>
      </c>
      <c r="N77" s="24" t="s">
        <v>477</v>
      </c>
      <c r="O77" s="15">
        <f>VLOOKUP(N77,Select!D:H,5,FALSE)</f>
        <v>0</v>
      </c>
    </row>
    <row r="78" spans="1:15">
      <c r="A78" s="23">
        <v>100603</v>
      </c>
      <c r="B78" s="1" t="s">
        <v>532</v>
      </c>
      <c r="C78" s="6">
        <f>VLOOKUP(B78,Select!A:H,8,FALSE)</f>
        <v>9</v>
      </c>
      <c r="D78" s="1" t="s">
        <v>10</v>
      </c>
      <c r="E78" s="6">
        <f>VLOOKUP(D78,Select!B:H,7,FALSE)</f>
        <v>0</v>
      </c>
      <c r="F78" s="1" t="s">
        <v>3</v>
      </c>
      <c r="G78" s="6">
        <f>VLOOKUP(F78,Select!C:H,6,FALSE)</f>
        <v>0</v>
      </c>
      <c r="H78" s="24" t="s">
        <v>552</v>
      </c>
      <c r="I78" s="24">
        <v>4</v>
      </c>
      <c r="J78" s="24">
        <v>4</v>
      </c>
      <c r="K78" s="24">
        <v>3</v>
      </c>
      <c r="L78" s="24"/>
      <c r="M78" s="24" t="b">
        <v>0</v>
      </c>
      <c r="N78" s="24" t="s">
        <v>477</v>
      </c>
      <c r="O78" s="15">
        <f>VLOOKUP(N78,Select!D:H,5,FALSE)</f>
        <v>0</v>
      </c>
    </row>
    <row r="79" spans="1:15">
      <c r="A79" s="23">
        <v>100604</v>
      </c>
      <c r="B79" s="5" t="s">
        <v>532</v>
      </c>
      <c r="C79" s="6">
        <f>VLOOKUP(B79,Select!A:H,8,FALSE)</f>
        <v>9</v>
      </c>
      <c r="D79" s="5" t="s">
        <v>10</v>
      </c>
      <c r="E79" s="6">
        <f>VLOOKUP(D79,Select!B:H,7,FALSE)</f>
        <v>0</v>
      </c>
      <c r="F79" s="5" t="s">
        <v>3</v>
      </c>
      <c r="G79" s="6">
        <f>VLOOKUP(F79,Select!C:H,6,FALSE)</f>
        <v>0</v>
      </c>
      <c r="H79" s="24" t="s">
        <v>553</v>
      </c>
      <c r="I79" s="24">
        <v>6</v>
      </c>
      <c r="J79" s="24">
        <v>3</v>
      </c>
      <c r="K79" s="24">
        <v>6</v>
      </c>
      <c r="L79" s="24"/>
      <c r="M79" s="24" t="b">
        <v>0</v>
      </c>
      <c r="N79" s="24" t="s">
        <v>477</v>
      </c>
      <c r="O79" s="15">
        <f>VLOOKUP(N79,Select!D:H,5,FALSE)</f>
        <v>0</v>
      </c>
    </row>
    <row r="80" spans="1:15">
      <c r="A80" s="23">
        <v>100605</v>
      </c>
      <c r="B80" s="1" t="s">
        <v>532</v>
      </c>
      <c r="C80" s="6">
        <f>VLOOKUP(B80,Select!A:H,8,FALSE)</f>
        <v>9</v>
      </c>
      <c r="D80" s="1" t="s">
        <v>10</v>
      </c>
      <c r="E80" s="6">
        <f>VLOOKUP(D80,Select!B:H,7,FALSE)</f>
        <v>0</v>
      </c>
      <c r="F80" s="1" t="s">
        <v>23</v>
      </c>
      <c r="G80" s="6">
        <f>VLOOKUP(F80,Select!C:H,6,FALSE)</f>
        <v>1</v>
      </c>
      <c r="H80" s="24" t="s">
        <v>554</v>
      </c>
      <c r="I80" s="24">
        <v>2</v>
      </c>
      <c r="J80" s="24"/>
      <c r="K80" s="24"/>
      <c r="L80" s="24"/>
      <c r="M80" s="24" t="b">
        <v>0</v>
      </c>
      <c r="N80" s="24" t="s">
        <v>477</v>
      </c>
      <c r="O80" s="15">
        <f>VLOOKUP(N80,Select!D:H,5,FALSE)</f>
        <v>0</v>
      </c>
    </row>
    <row r="81" spans="1:15">
      <c r="A81" s="23">
        <v>100606</v>
      </c>
      <c r="B81" s="5" t="s">
        <v>532</v>
      </c>
      <c r="C81" s="6">
        <f>VLOOKUP(B81,Select!A:H,8,FALSE)</f>
        <v>9</v>
      </c>
      <c r="D81" s="5" t="s">
        <v>10</v>
      </c>
      <c r="E81" s="6">
        <f>VLOOKUP(D81,Select!B:H,7,FALSE)</f>
        <v>0</v>
      </c>
      <c r="F81" s="5" t="s">
        <v>23</v>
      </c>
      <c r="G81" s="6">
        <f>VLOOKUP(F81,Select!C:H,6,FALSE)</f>
        <v>1</v>
      </c>
      <c r="H81" s="24" t="s">
        <v>555</v>
      </c>
      <c r="I81" s="24">
        <v>2</v>
      </c>
      <c r="J81" s="24"/>
      <c r="K81" s="24"/>
      <c r="L81" s="24"/>
      <c r="M81" s="24" t="b">
        <v>0</v>
      </c>
      <c r="N81" s="24" t="s">
        <v>477</v>
      </c>
      <c r="O81" s="15">
        <f>VLOOKUP(N81,Select!D:H,5,FALSE)</f>
        <v>0</v>
      </c>
    </row>
    <row r="82" spans="1:15">
      <c r="A82" s="23">
        <v>100607</v>
      </c>
      <c r="B82" s="1" t="s">
        <v>532</v>
      </c>
      <c r="C82" s="6">
        <f>VLOOKUP(B82,Select!A:H,8,FALSE)</f>
        <v>9</v>
      </c>
      <c r="D82" s="1" t="s">
        <v>10</v>
      </c>
      <c r="E82" s="6">
        <f>VLOOKUP(D82,Select!B:H,7,FALSE)</f>
        <v>0</v>
      </c>
      <c r="F82" s="1" t="s">
        <v>23</v>
      </c>
      <c r="G82" s="6">
        <f>VLOOKUP(F82,Select!C:H,6,FALSE)</f>
        <v>1</v>
      </c>
      <c r="H82" s="24" t="s">
        <v>556</v>
      </c>
      <c r="I82" s="24">
        <v>4</v>
      </c>
      <c r="J82" s="24"/>
      <c r="K82" s="24"/>
      <c r="L82" s="24"/>
      <c r="M82" s="24" t="b">
        <v>0</v>
      </c>
      <c r="N82" s="24" t="s">
        <v>477</v>
      </c>
      <c r="O82" s="15">
        <f>VLOOKUP(N82,Select!D:H,5,FALSE)</f>
        <v>0</v>
      </c>
    </row>
    <row r="83" spans="1:15">
      <c r="A83" s="23">
        <v>100608</v>
      </c>
      <c r="B83" s="5" t="s">
        <v>532</v>
      </c>
      <c r="C83" s="6">
        <f>VLOOKUP(B83,Select!A:H,8,FALSE)</f>
        <v>9</v>
      </c>
      <c r="D83" s="5" t="s">
        <v>36</v>
      </c>
      <c r="E83" s="6">
        <f>VLOOKUP(D83,Select!B:H,7,FALSE)</f>
        <v>1</v>
      </c>
      <c r="F83" s="5" t="s">
        <v>3</v>
      </c>
      <c r="G83" s="6">
        <f>VLOOKUP(F83,Select!C:H,6,FALSE)</f>
        <v>0</v>
      </c>
      <c r="H83" s="24" t="s">
        <v>557</v>
      </c>
      <c r="I83" s="24">
        <v>4</v>
      </c>
      <c r="J83" s="24">
        <v>3</v>
      </c>
      <c r="K83" s="24">
        <v>4</v>
      </c>
      <c r="L83" s="24"/>
      <c r="M83" s="24" t="b">
        <v>0</v>
      </c>
      <c r="N83" s="24" t="s">
        <v>477</v>
      </c>
      <c r="O83" s="15">
        <f>VLOOKUP(N83,Select!D:H,5,FALSE)</f>
        <v>0</v>
      </c>
    </row>
    <row r="84" spans="1:15">
      <c r="A84" s="23">
        <v>100609</v>
      </c>
      <c r="B84" s="1" t="s">
        <v>532</v>
      </c>
      <c r="C84" s="6">
        <f>VLOOKUP(B84,Select!A:H,8,FALSE)</f>
        <v>9</v>
      </c>
      <c r="D84" s="1" t="s">
        <v>36</v>
      </c>
      <c r="E84" s="6">
        <f>VLOOKUP(D84,Select!B:H,7,FALSE)</f>
        <v>1</v>
      </c>
      <c r="F84" s="1" t="s">
        <v>3</v>
      </c>
      <c r="G84" s="6">
        <f>VLOOKUP(F84,Select!C:H,6,FALSE)</f>
        <v>0</v>
      </c>
      <c r="H84" s="24" t="s">
        <v>558</v>
      </c>
      <c r="I84" s="24">
        <v>7</v>
      </c>
      <c r="J84" s="24">
        <v>5</v>
      </c>
      <c r="K84" s="24">
        <v>6</v>
      </c>
      <c r="L84" s="24"/>
      <c r="M84" s="24" t="b">
        <v>0</v>
      </c>
      <c r="N84" s="24" t="s">
        <v>477</v>
      </c>
      <c r="O84" s="15">
        <f>VLOOKUP(N84,Select!D:H,5,FALSE)</f>
        <v>0</v>
      </c>
    </row>
    <row r="85" spans="1:15">
      <c r="A85" s="23">
        <v>100610</v>
      </c>
      <c r="B85" s="5" t="s">
        <v>532</v>
      </c>
      <c r="C85" s="6">
        <f>VLOOKUP(B85,Select!A:H,8,FALSE)</f>
        <v>9</v>
      </c>
      <c r="D85" s="5" t="s">
        <v>36</v>
      </c>
      <c r="E85" s="6">
        <f>VLOOKUP(D85,Select!B:H,7,FALSE)</f>
        <v>1</v>
      </c>
      <c r="F85" s="5" t="s">
        <v>23</v>
      </c>
      <c r="G85" s="6">
        <f>VLOOKUP(F85,Select!C:H,6,FALSE)</f>
        <v>1</v>
      </c>
      <c r="H85" s="24" t="s">
        <v>559</v>
      </c>
      <c r="I85" s="24">
        <v>6</v>
      </c>
      <c r="J85" s="24"/>
      <c r="K85" s="24"/>
      <c r="L85" s="24"/>
      <c r="M85" s="24" t="b">
        <v>0</v>
      </c>
      <c r="N85" s="24" t="s">
        <v>477</v>
      </c>
      <c r="O85" s="15">
        <f>VLOOKUP(N85,Select!D:H,5,FALSE)</f>
        <v>0</v>
      </c>
    </row>
    <row r="86" spans="1:15">
      <c r="A86" s="23">
        <v>100700</v>
      </c>
      <c r="B86" s="1" t="s">
        <v>29</v>
      </c>
      <c r="C86" s="6">
        <f>VLOOKUP(B86,Select!A:H,8,FALSE)</f>
        <v>6</v>
      </c>
      <c r="D86" s="1" t="s">
        <v>10</v>
      </c>
      <c r="E86" s="6">
        <f>VLOOKUP(D86,Select!B:H,7,FALSE)</f>
        <v>0</v>
      </c>
      <c r="F86" s="1" t="s">
        <v>3</v>
      </c>
      <c r="G86" s="6">
        <f>VLOOKUP(F86,Select!C:H,6,FALSE)</f>
        <v>0</v>
      </c>
      <c r="H86" s="24" t="s">
        <v>560</v>
      </c>
      <c r="I86" s="24">
        <v>2</v>
      </c>
      <c r="J86" s="24">
        <v>1</v>
      </c>
      <c r="K86" s="24">
        <v>3</v>
      </c>
      <c r="L86" s="24"/>
      <c r="M86" s="24" t="b">
        <v>0</v>
      </c>
      <c r="N86" s="24" t="s">
        <v>477</v>
      </c>
      <c r="O86" s="15">
        <f>VLOOKUP(N86,Select!D:H,5,FALSE)</f>
        <v>0</v>
      </c>
    </row>
    <row r="87" spans="1:15">
      <c r="A87" s="23">
        <v>100701</v>
      </c>
      <c r="B87" s="5" t="s">
        <v>29</v>
      </c>
      <c r="C87" s="6">
        <f>VLOOKUP(B87,Select!A:H,8,FALSE)</f>
        <v>6</v>
      </c>
      <c r="D87" s="5" t="s">
        <v>10</v>
      </c>
      <c r="E87" s="6">
        <f>VLOOKUP(D87,Select!B:H,7,FALSE)</f>
        <v>0</v>
      </c>
      <c r="F87" s="5" t="s">
        <v>3</v>
      </c>
      <c r="G87" s="6">
        <f>VLOOKUP(F87,Select!C:H,6,FALSE)</f>
        <v>0</v>
      </c>
      <c r="H87" s="24" t="s">
        <v>561</v>
      </c>
      <c r="I87" s="24">
        <v>7</v>
      </c>
      <c r="J87" s="24">
        <v>5</v>
      </c>
      <c r="K87" s="24">
        <v>5</v>
      </c>
      <c r="L87" s="24"/>
      <c r="M87" s="24" t="b">
        <v>0</v>
      </c>
      <c r="N87" s="24" t="s">
        <v>477</v>
      </c>
      <c r="O87" s="15">
        <f>VLOOKUP(N87,Select!D:H,5,FALSE)</f>
        <v>0</v>
      </c>
    </row>
    <row r="88" spans="1:15">
      <c r="A88" s="23">
        <v>100702</v>
      </c>
      <c r="B88" s="1" t="s">
        <v>29</v>
      </c>
      <c r="C88" s="6">
        <f>VLOOKUP(B88,Select!A:H,8,FALSE)</f>
        <v>6</v>
      </c>
      <c r="D88" s="1" t="s">
        <v>10</v>
      </c>
      <c r="E88" s="6">
        <f>VLOOKUP(D88,Select!B:H,7,FALSE)</f>
        <v>0</v>
      </c>
      <c r="F88" s="1" t="s">
        <v>23</v>
      </c>
      <c r="G88" s="6">
        <f>VLOOKUP(F88,Select!C:H,6,FALSE)</f>
        <v>1</v>
      </c>
      <c r="H88" s="24" t="s">
        <v>562</v>
      </c>
      <c r="I88" s="24">
        <v>2</v>
      </c>
      <c r="J88" s="24"/>
      <c r="K88" s="24"/>
      <c r="L88" s="24"/>
      <c r="M88" s="24" t="b">
        <v>0</v>
      </c>
      <c r="N88" s="24" t="s">
        <v>477</v>
      </c>
      <c r="O88" s="15">
        <f>VLOOKUP(N88,Select!D:H,5,FALSE)</f>
        <v>0</v>
      </c>
    </row>
    <row r="89" spans="1:15">
      <c r="A89" s="23">
        <v>100703</v>
      </c>
      <c r="B89" s="5" t="s">
        <v>29</v>
      </c>
      <c r="C89" s="6">
        <f>VLOOKUP(B89,Select!A:H,8,FALSE)</f>
        <v>6</v>
      </c>
      <c r="D89" s="5" t="s">
        <v>10</v>
      </c>
      <c r="E89" s="6">
        <f>VLOOKUP(D89,Select!B:H,7,FALSE)</f>
        <v>0</v>
      </c>
      <c r="F89" s="5" t="s">
        <v>23</v>
      </c>
      <c r="G89" s="6">
        <f>VLOOKUP(F89,Select!C:H,6,FALSE)</f>
        <v>1</v>
      </c>
      <c r="H89" s="24" t="s">
        <v>563</v>
      </c>
      <c r="I89" s="24">
        <v>2</v>
      </c>
      <c r="J89" s="24"/>
      <c r="K89" s="24"/>
      <c r="L89" s="24"/>
      <c r="M89" s="24" t="b">
        <v>0</v>
      </c>
      <c r="N89" s="24" t="s">
        <v>477</v>
      </c>
      <c r="O89" s="15">
        <f>VLOOKUP(N89,Select!D:H,5,FALSE)</f>
        <v>0</v>
      </c>
    </row>
    <row r="90" spans="1:15">
      <c r="A90" s="23">
        <v>100704</v>
      </c>
      <c r="B90" s="1" t="s">
        <v>29</v>
      </c>
      <c r="C90" s="6">
        <f>VLOOKUP(B90,Select!A:H,8,FALSE)</f>
        <v>6</v>
      </c>
      <c r="D90" s="1" t="s">
        <v>10</v>
      </c>
      <c r="E90" s="6">
        <f>VLOOKUP(D90,Select!B:H,7,FALSE)</f>
        <v>0</v>
      </c>
      <c r="F90" s="1" t="s">
        <v>23</v>
      </c>
      <c r="G90" s="6">
        <f>VLOOKUP(F90,Select!C:H,6,FALSE)</f>
        <v>1</v>
      </c>
      <c r="H90" s="24" t="s">
        <v>564</v>
      </c>
      <c r="I90" s="24">
        <v>5</v>
      </c>
      <c r="J90" s="24"/>
      <c r="K90" s="24"/>
      <c r="L90" s="24"/>
      <c r="M90" s="24" t="b">
        <v>0</v>
      </c>
      <c r="N90" s="24" t="s">
        <v>477</v>
      </c>
      <c r="O90" s="15">
        <f>VLOOKUP(N90,Select!D:H,5,FALSE)</f>
        <v>0</v>
      </c>
    </row>
    <row r="91" spans="1:15">
      <c r="A91" s="23">
        <v>100705</v>
      </c>
      <c r="B91" s="5" t="s">
        <v>29</v>
      </c>
      <c r="C91" s="6">
        <f>VLOOKUP(B91,Select!A:H,8,FALSE)</f>
        <v>6</v>
      </c>
      <c r="D91" s="5" t="s">
        <v>10</v>
      </c>
      <c r="E91" s="6">
        <f>VLOOKUP(D91,Select!B:H,7,FALSE)</f>
        <v>0</v>
      </c>
      <c r="F91" s="5" t="s">
        <v>34</v>
      </c>
      <c r="G91" s="6">
        <f>VLOOKUP(F91,Select!C:H,6,FALSE)</f>
        <v>2</v>
      </c>
      <c r="H91" s="24" t="s">
        <v>565</v>
      </c>
      <c r="I91" s="24">
        <v>1</v>
      </c>
      <c r="J91" s="24"/>
      <c r="K91" s="24"/>
      <c r="L91" s="24"/>
      <c r="M91" s="24" t="b">
        <v>0</v>
      </c>
      <c r="N91" s="24" t="s">
        <v>477</v>
      </c>
      <c r="O91" s="15">
        <f>VLOOKUP(N91,Select!D:H,5,FALSE)</f>
        <v>0</v>
      </c>
    </row>
    <row r="92" spans="1:15">
      <c r="A92" s="23">
        <v>100706</v>
      </c>
      <c r="B92" s="1" t="s">
        <v>29</v>
      </c>
      <c r="C92" s="6">
        <f>VLOOKUP(B92,Select!A:H,8,FALSE)</f>
        <v>6</v>
      </c>
      <c r="D92" s="1" t="s">
        <v>10</v>
      </c>
      <c r="E92" s="6">
        <f>VLOOKUP(D92,Select!B:H,7,FALSE)</f>
        <v>0</v>
      </c>
      <c r="F92" s="1" t="s">
        <v>34</v>
      </c>
      <c r="G92" s="6">
        <f>VLOOKUP(F92,Select!C:H,6,FALSE)</f>
        <v>2</v>
      </c>
      <c r="H92" s="24" t="s">
        <v>566</v>
      </c>
      <c r="I92" s="24">
        <v>2</v>
      </c>
      <c r="J92" s="24"/>
      <c r="K92" s="24"/>
      <c r="L92" s="24"/>
      <c r="M92" s="24" t="b">
        <v>0</v>
      </c>
      <c r="N92" s="24" t="s">
        <v>477</v>
      </c>
      <c r="O92" s="15">
        <f>VLOOKUP(N92,Select!D:H,5,FALSE)</f>
        <v>0</v>
      </c>
    </row>
    <row r="93" spans="1:15">
      <c r="A93" s="23">
        <v>100707</v>
      </c>
      <c r="B93" s="5" t="s">
        <v>29</v>
      </c>
      <c r="C93" s="6">
        <f>VLOOKUP(B93,Select!A:H,8,FALSE)</f>
        <v>6</v>
      </c>
      <c r="D93" s="5" t="s">
        <v>10</v>
      </c>
      <c r="E93" s="6">
        <f>VLOOKUP(D93,Select!B:H,7,FALSE)</f>
        <v>0</v>
      </c>
      <c r="F93" s="5" t="s">
        <v>34</v>
      </c>
      <c r="G93" s="6">
        <f>VLOOKUP(F93,Select!C:H,6,FALSE)</f>
        <v>2</v>
      </c>
      <c r="H93" s="24" t="s">
        <v>567</v>
      </c>
      <c r="I93" s="24">
        <v>3</v>
      </c>
      <c r="J93" s="24"/>
      <c r="K93" s="24"/>
      <c r="L93" s="24"/>
      <c r="M93" s="24" t="b">
        <v>0</v>
      </c>
      <c r="N93" s="24" t="s">
        <v>477</v>
      </c>
      <c r="O93" s="15">
        <f>VLOOKUP(N93,Select!D:H,5,FALSE)</f>
        <v>0</v>
      </c>
    </row>
    <row r="94" spans="1:15">
      <c r="A94" s="23">
        <v>100708</v>
      </c>
      <c r="B94" s="1" t="s">
        <v>29</v>
      </c>
      <c r="C94" s="6">
        <f>VLOOKUP(B94,Select!A:H,8,FALSE)</f>
        <v>6</v>
      </c>
      <c r="D94" s="1" t="s">
        <v>36</v>
      </c>
      <c r="E94" s="6">
        <f>VLOOKUP(D94,Select!B:H,7,FALSE)</f>
        <v>1</v>
      </c>
      <c r="F94" s="1" t="s">
        <v>3</v>
      </c>
      <c r="G94" s="6">
        <f>VLOOKUP(F94,Select!C:H,6,FALSE)</f>
        <v>0</v>
      </c>
      <c r="H94" s="24" t="s">
        <v>570</v>
      </c>
      <c r="I94" s="24">
        <v>4</v>
      </c>
      <c r="J94" s="24">
        <v>3</v>
      </c>
      <c r="K94" s="24">
        <v>4</v>
      </c>
      <c r="L94" s="24"/>
      <c r="M94" s="24" t="b">
        <v>0</v>
      </c>
      <c r="N94" s="24" t="s">
        <v>477</v>
      </c>
      <c r="O94" s="15">
        <f>VLOOKUP(N94,Select!D:H,5,FALSE)</f>
        <v>0</v>
      </c>
    </row>
    <row r="95" spans="1:15">
      <c r="A95" s="23">
        <v>100709</v>
      </c>
      <c r="B95" s="5" t="s">
        <v>29</v>
      </c>
      <c r="C95" s="6">
        <f>VLOOKUP(B95,Select!A:H,8,FALSE)</f>
        <v>6</v>
      </c>
      <c r="D95" s="5" t="s">
        <v>36</v>
      </c>
      <c r="E95" s="6">
        <f>VLOOKUP(D95,Select!B:H,7,FALSE)</f>
        <v>1</v>
      </c>
      <c r="F95" s="5" t="s">
        <v>3</v>
      </c>
      <c r="G95" s="6">
        <f>VLOOKUP(F95,Select!C:H,6,FALSE)</f>
        <v>0</v>
      </c>
      <c r="H95" s="24" t="s">
        <v>568</v>
      </c>
      <c r="I95" s="24">
        <v>5</v>
      </c>
      <c r="J95" s="24">
        <v>3</v>
      </c>
      <c r="K95" s="24">
        <v>4</v>
      </c>
      <c r="L95" s="24"/>
      <c r="M95" s="24" t="b">
        <v>0</v>
      </c>
      <c r="N95" s="24" t="s">
        <v>477</v>
      </c>
      <c r="O95" s="15">
        <f>VLOOKUP(N95,Select!D:H,5,FALSE)</f>
        <v>0</v>
      </c>
    </row>
    <row r="96" spans="1:15">
      <c r="A96" s="23">
        <v>100710</v>
      </c>
      <c r="B96" s="1" t="s">
        <v>29</v>
      </c>
      <c r="C96" s="6">
        <f>VLOOKUP(B96,Select!A:H,8,FALSE)</f>
        <v>6</v>
      </c>
      <c r="D96" s="1" t="s">
        <v>36</v>
      </c>
      <c r="E96" s="6">
        <f>VLOOKUP(D96,Select!B:H,7,FALSE)</f>
        <v>1</v>
      </c>
      <c r="F96" s="1" t="s">
        <v>34</v>
      </c>
      <c r="G96" s="6">
        <f>VLOOKUP(F96,Select!C:H,6,FALSE)</f>
        <v>2</v>
      </c>
      <c r="H96" s="25" t="s">
        <v>569</v>
      </c>
      <c r="I96" s="24">
        <v>5</v>
      </c>
      <c r="J96" s="24"/>
      <c r="K96" s="24"/>
      <c r="L96" s="24"/>
      <c r="M96" s="24" t="b">
        <v>0</v>
      </c>
      <c r="N96" s="24" t="s">
        <v>477</v>
      </c>
      <c r="O96" s="15">
        <f>VLOOKUP(N96,Select!D:H,5,FALSE)</f>
        <v>0</v>
      </c>
    </row>
    <row r="97" spans="1:15">
      <c r="A97" s="23">
        <v>100711</v>
      </c>
      <c r="B97" s="5" t="s">
        <v>29</v>
      </c>
      <c r="C97" s="6">
        <f>VLOOKUP(B97,Select!A:H,8,FALSE)</f>
        <v>6</v>
      </c>
      <c r="D97" s="5" t="s">
        <v>10</v>
      </c>
      <c r="E97" s="6">
        <f>VLOOKUP(D97,Select!B:H,7,FALSE)</f>
        <v>0</v>
      </c>
      <c r="F97" s="5" t="s">
        <v>3</v>
      </c>
      <c r="G97" s="6">
        <f>VLOOKUP(F97,Select!C:H,6,FALSE)</f>
        <v>0</v>
      </c>
      <c r="H97" s="25" t="s">
        <v>256</v>
      </c>
      <c r="I97" s="24">
        <v>4</v>
      </c>
      <c r="J97" s="24">
        <v>4</v>
      </c>
      <c r="K97" s="24">
        <v>4</v>
      </c>
      <c r="L97" s="24"/>
      <c r="M97" s="24" t="b">
        <v>1</v>
      </c>
      <c r="N97" s="24" t="s">
        <v>477</v>
      </c>
      <c r="O97" s="15">
        <f>VLOOKUP(N97,Select!D:H,5,FALSE)</f>
        <v>0</v>
      </c>
    </row>
    <row r="98" spans="1:15">
      <c r="A98" s="23">
        <v>100712</v>
      </c>
      <c r="B98" s="1" t="s">
        <v>29</v>
      </c>
      <c r="C98" s="6">
        <f>VLOOKUP(B98,Select!A:H,8,FALSE)</f>
        <v>6</v>
      </c>
      <c r="D98" s="1" t="s">
        <v>10</v>
      </c>
      <c r="E98" s="6">
        <f>VLOOKUP(D98,Select!B:H,7,FALSE)</f>
        <v>0</v>
      </c>
      <c r="F98" s="1" t="s">
        <v>3</v>
      </c>
      <c r="G98" s="6">
        <f>VLOOKUP(F98,Select!C:H,6,FALSE)</f>
        <v>0</v>
      </c>
      <c r="H98" s="26" t="s">
        <v>571</v>
      </c>
      <c r="I98" s="24">
        <v>5</v>
      </c>
      <c r="J98" s="24">
        <v>5</v>
      </c>
      <c r="K98" s="24">
        <v>3</v>
      </c>
      <c r="L98" s="24"/>
      <c r="M98" s="24" t="b">
        <v>1</v>
      </c>
      <c r="N98" s="24" t="s">
        <v>477</v>
      </c>
      <c r="O98" s="15">
        <f>VLOOKUP(N98,Select!D:H,5,FALSE)</f>
        <v>0</v>
      </c>
    </row>
    <row r="99" spans="1:15">
      <c r="A99" s="23">
        <v>100713</v>
      </c>
      <c r="B99" s="5" t="s">
        <v>29</v>
      </c>
      <c r="C99" s="6">
        <f>VLOOKUP(B99,Select!A:H,8,FALSE)</f>
        <v>6</v>
      </c>
      <c r="D99" s="5" t="s">
        <v>10</v>
      </c>
      <c r="E99" s="6">
        <f>VLOOKUP(D99,Select!B:H,7,FALSE)</f>
        <v>0</v>
      </c>
      <c r="F99" s="5" t="s">
        <v>3</v>
      </c>
      <c r="G99" s="6">
        <f>VLOOKUP(F99,Select!C:H,6,FALSE)</f>
        <v>0</v>
      </c>
      <c r="H99" s="26" t="s">
        <v>572</v>
      </c>
      <c r="I99" s="24">
        <v>6</v>
      </c>
      <c r="J99" s="24">
        <v>6</v>
      </c>
      <c r="K99" s="24">
        <v>6</v>
      </c>
      <c r="L99" s="24"/>
      <c r="M99" s="24" t="b">
        <v>1</v>
      </c>
      <c r="N99" s="24" t="s">
        <v>477</v>
      </c>
      <c r="O99" s="15">
        <f>VLOOKUP(N99,Select!D:H,5,FALSE)</f>
        <v>0</v>
      </c>
    </row>
    <row r="100" spans="1:15">
      <c r="A100" s="23">
        <v>100800</v>
      </c>
      <c r="B100" s="1" t="s">
        <v>28</v>
      </c>
      <c r="C100" s="6">
        <f>VLOOKUP(B100,Select!A:H,8,FALSE)</f>
        <v>7</v>
      </c>
      <c r="D100" s="1" t="s">
        <v>10</v>
      </c>
      <c r="E100" s="6">
        <f>VLOOKUP(D100,Select!B:H,7,FALSE)</f>
        <v>0</v>
      </c>
      <c r="F100" s="1" t="s">
        <v>3</v>
      </c>
      <c r="G100" s="6">
        <f>VLOOKUP(F100,Select!C:H,6,FALSE)</f>
        <v>0</v>
      </c>
      <c r="H100" s="24" t="s">
        <v>573</v>
      </c>
      <c r="I100" s="24">
        <v>2</v>
      </c>
      <c r="J100" s="24">
        <v>2</v>
      </c>
      <c r="K100" s="24">
        <v>2</v>
      </c>
      <c r="L100" s="24"/>
      <c r="M100" s="24" t="b">
        <v>0</v>
      </c>
      <c r="N100" s="24" t="s">
        <v>477</v>
      </c>
      <c r="O100" s="15">
        <f>VLOOKUP(N100,Select!D:H,5,FALSE)</f>
        <v>0</v>
      </c>
    </row>
    <row r="101" spans="1:15">
      <c r="A101" s="23">
        <v>100801</v>
      </c>
      <c r="B101" s="5" t="s">
        <v>28</v>
      </c>
      <c r="C101" s="6">
        <f>VLOOKUP(B101,Select!A:H,8,FALSE)</f>
        <v>7</v>
      </c>
      <c r="D101" s="5" t="s">
        <v>10</v>
      </c>
      <c r="E101" s="6">
        <f>VLOOKUP(D101,Select!B:H,7,FALSE)</f>
        <v>0</v>
      </c>
      <c r="F101" s="5" t="s">
        <v>3</v>
      </c>
      <c r="G101" s="6">
        <f>VLOOKUP(F101,Select!C:H,6,FALSE)</f>
        <v>0</v>
      </c>
      <c r="H101" s="24" t="s">
        <v>574</v>
      </c>
      <c r="I101" s="24">
        <v>2</v>
      </c>
      <c r="J101" s="24">
        <v>2</v>
      </c>
      <c r="K101" s="24">
        <v>2</v>
      </c>
      <c r="L101" s="24"/>
      <c r="M101" s="24" t="b">
        <v>0</v>
      </c>
      <c r="N101" s="24" t="s">
        <v>477</v>
      </c>
      <c r="O101" s="15">
        <f>VLOOKUP(N101,Select!D:H,5,FALSE)</f>
        <v>0</v>
      </c>
    </row>
    <row r="102" spans="1:15">
      <c r="A102" s="23">
        <v>100802</v>
      </c>
      <c r="B102" s="1" t="s">
        <v>28</v>
      </c>
      <c r="C102" s="6">
        <f>VLOOKUP(B102,Select!A:H,8,FALSE)</f>
        <v>7</v>
      </c>
      <c r="D102" s="1" t="s">
        <v>10</v>
      </c>
      <c r="E102" s="6">
        <f>VLOOKUP(D102,Select!B:H,7,FALSE)</f>
        <v>0</v>
      </c>
      <c r="F102" s="1" t="s">
        <v>3</v>
      </c>
      <c r="G102" s="6">
        <f>VLOOKUP(F102,Select!C:H,6,FALSE)</f>
        <v>0</v>
      </c>
      <c r="H102" s="24" t="s">
        <v>575</v>
      </c>
      <c r="I102" s="24">
        <v>2</v>
      </c>
      <c r="J102" s="24">
        <v>2</v>
      </c>
      <c r="K102" s="24">
        <v>2</v>
      </c>
      <c r="L102" s="24"/>
      <c r="M102" s="24" t="b">
        <v>0</v>
      </c>
      <c r="N102" s="24" t="s">
        <v>477</v>
      </c>
      <c r="O102" s="15">
        <f>VLOOKUP(N102,Select!D:H,5,FALSE)</f>
        <v>0</v>
      </c>
    </row>
    <row r="103" spans="1:15">
      <c r="A103" s="23">
        <v>100803</v>
      </c>
      <c r="B103" s="5" t="s">
        <v>28</v>
      </c>
      <c r="C103" s="6">
        <f>VLOOKUP(B103,Select!A:H,8,FALSE)</f>
        <v>7</v>
      </c>
      <c r="D103" s="5" t="s">
        <v>10</v>
      </c>
      <c r="E103" s="6">
        <f>VLOOKUP(D103,Select!B:H,7,FALSE)</f>
        <v>0</v>
      </c>
      <c r="F103" s="5" t="s">
        <v>3</v>
      </c>
      <c r="G103" s="6">
        <f>VLOOKUP(F103,Select!C:H,6,FALSE)</f>
        <v>0</v>
      </c>
      <c r="H103" s="24" t="s">
        <v>576</v>
      </c>
      <c r="I103" s="24">
        <v>3</v>
      </c>
      <c r="J103" s="24">
        <v>2</v>
      </c>
      <c r="K103" s="24">
        <v>1</v>
      </c>
      <c r="L103" s="24"/>
      <c r="M103" s="24" t="b">
        <v>0</v>
      </c>
      <c r="N103" s="24" t="s">
        <v>477</v>
      </c>
      <c r="O103" s="15">
        <f>VLOOKUP(N103,Select!D:H,5,FALSE)</f>
        <v>0</v>
      </c>
    </row>
    <row r="104" spans="1:15">
      <c r="A104" s="23">
        <v>100804</v>
      </c>
      <c r="B104" s="1" t="s">
        <v>28</v>
      </c>
      <c r="C104" s="6">
        <f>VLOOKUP(B104,Select!A:H,8,FALSE)</f>
        <v>7</v>
      </c>
      <c r="D104" s="1" t="s">
        <v>10</v>
      </c>
      <c r="E104" s="6">
        <f>VLOOKUP(D104,Select!B:H,7,FALSE)</f>
        <v>0</v>
      </c>
      <c r="F104" s="1" t="s">
        <v>3</v>
      </c>
      <c r="G104" s="6">
        <f>VLOOKUP(F104,Select!C:H,6,FALSE)</f>
        <v>0</v>
      </c>
      <c r="H104" s="24" t="s">
        <v>577</v>
      </c>
      <c r="I104" s="24">
        <v>3</v>
      </c>
      <c r="J104" s="24">
        <v>3</v>
      </c>
      <c r="K104" s="24">
        <v>2</v>
      </c>
      <c r="L104" s="24"/>
      <c r="M104" s="24" t="b">
        <v>0</v>
      </c>
      <c r="N104" s="24" t="s">
        <v>477</v>
      </c>
      <c r="O104" s="15">
        <f>VLOOKUP(N104,Select!D:H,5,FALSE)</f>
        <v>0</v>
      </c>
    </row>
    <row r="105" spans="1:15">
      <c r="A105" s="23">
        <v>100805</v>
      </c>
      <c r="B105" s="5" t="s">
        <v>28</v>
      </c>
      <c r="C105" s="6">
        <f>VLOOKUP(B105,Select!A:H,8,FALSE)</f>
        <v>7</v>
      </c>
      <c r="D105" s="5" t="s">
        <v>10</v>
      </c>
      <c r="E105" s="6">
        <f>VLOOKUP(D105,Select!B:H,7,FALSE)</f>
        <v>0</v>
      </c>
      <c r="F105" s="5" t="s">
        <v>3</v>
      </c>
      <c r="G105" s="6">
        <f>VLOOKUP(F105,Select!C:H,6,FALSE)</f>
        <v>0</v>
      </c>
      <c r="H105" s="24" t="s">
        <v>578</v>
      </c>
      <c r="I105" s="24">
        <v>4</v>
      </c>
      <c r="J105" s="24">
        <v>4</v>
      </c>
      <c r="K105" s="24">
        <v>3</v>
      </c>
      <c r="L105" s="24"/>
      <c r="M105" s="24" t="b">
        <v>0</v>
      </c>
      <c r="N105" s="24" t="s">
        <v>477</v>
      </c>
      <c r="O105" s="15">
        <f>VLOOKUP(N105,Select!D:H,5,FALSE)</f>
        <v>0</v>
      </c>
    </row>
    <row r="106" spans="1:15">
      <c r="A106" s="23">
        <v>100806</v>
      </c>
      <c r="B106" s="1" t="s">
        <v>28</v>
      </c>
      <c r="C106" s="6">
        <f>VLOOKUP(B106,Select!A:H,8,FALSE)</f>
        <v>7</v>
      </c>
      <c r="D106" s="1" t="s">
        <v>10</v>
      </c>
      <c r="E106" s="6">
        <f>VLOOKUP(D106,Select!B:H,7,FALSE)</f>
        <v>0</v>
      </c>
      <c r="F106" s="1" t="s">
        <v>3</v>
      </c>
      <c r="G106" s="6">
        <f>VLOOKUP(F106,Select!C:H,6,FALSE)</f>
        <v>0</v>
      </c>
      <c r="H106" s="24" t="s">
        <v>579</v>
      </c>
      <c r="I106" s="24">
        <v>6</v>
      </c>
      <c r="J106" s="24">
        <v>5</v>
      </c>
      <c r="K106" s="24">
        <v>6</v>
      </c>
      <c r="L106" s="24"/>
      <c r="M106" s="24" t="b">
        <v>0</v>
      </c>
      <c r="N106" s="24" t="s">
        <v>477</v>
      </c>
      <c r="O106" s="15">
        <f>VLOOKUP(N106,Select!D:H,5,FALSE)</f>
        <v>0</v>
      </c>
    </row>
    <row r="107" spans="1:15">
      <c r="A107" s="23">
        <v>100807</v>
      </c>
      <c r="B107" s="5" t="s">
        <v>28</v>
      </c>
      <c r="C107" s="6">
        <f>VLOOKUP(B107,Select!A:H,8,FALSE)</f>
        <v>7</v>
      </c>
      <c r="D107" s="5" t="s">
        <v>10</v>
      </c>
      <c r="E107" s="6">
        <f>VLOOKUP(D107,Select!B:H,7,FALSE)</f>
        <v>0</v>
      </c>
      <c r="F107" s="5" t="s">
        <v>23</v>
      </c>
      <c r="G107" s="6">
        <f>VLOOKUP(F107,Select!C:H,6,FALSE)</f>
        <v>1</v>
      </c>
      <c r="H107" s="24" t="s">
        <v>580</v>
      </c>
      <c r="I107" s="24">
        <v>2</v>
      </c>
      <c r="J107" s="24"/>
      <c r="K107" s="24"/>
      <c r="L107" s="24"/>
      <c r="M107" s="24" t="b">
        <v>0</v>
      </c>
      <c r="N107" s="24" t="s">
        <v>477</v>
      </c>
      <c r="O107" s="15">
        <f>VLOOKUP(N107,Select!D:H,5,FALSE)</f>
        <v>0</v>
      </c>
    </row>
    <row r="108" spans="1:15">
      <c r="A108" s="23">
        <v>100808</v>
      </c>
      <c r="B108" s="1" t="s">
        <v>28</v>
      </c>
      <c r="C108" s="6">
        <f>VLOOKUP(B108,Select!A:H,8,FALSE)</f>
        <v>7</v>
      </c>
      <c r="D108" s="1" t="s">
        <v>36</v>
      </c>
      <c r="E108" s="6">
        <f>VLOOKUP(D108,Select!B:H,7,FALSE)</f>
        <v>1</v>
      </c>
      <c r="F108" s="1" t="s">
        <v>3</v>
      </c>
      <c r="G108" s="6">
        <f>VLOOKUP(F108,Select!C:H,6,FALSE)</f>
        <v>0</v>
      </c>
      <c r="H108" s="24" t="s">
        <v>581</v>
      </c>
      <c r="I108" s="24">
        <v>2</v>
      </c>
      <c r="J108" s="24">
        <v>2</v>
      </c>
      <c r="K108" s="24">
        <v>2</v>
      </c>
      <c r="L108" s="24"/>
      <c r="M108" s="24" t="b">
        <v>0</v>
      </c>
      <c r="N108" s="24" t="s">
        <v>477</v>
      </c>
      <c r="O108" s="15">
        <f>VLOOKUP(N108,Select!D:H,5,FALSE)</f>
        <v>0</v>
      </c>
    </row>
    <row r="109" spans="1:15">
      <c r="A109" s="23">
        <v>100809</v>
      </c>
      <c r="B109" s="5" t="s">
        <v>28</v>
      </c>
      <c r="C109" s="6">
        <f>VLOOKUP(B109,Select!A:H,8,FALSE)</f>
        <v>7</v>
      </c>
      <c r="D109" s="5" t="s">
        <v>36</v>
      </c>
      <c r="E109" s="6">
        <f>VLOOKUP(D109,Select!B:H,7,FALSE)</f>
        <v>1</v>
      </c>
      <c r="F109" s="5" t="s">
        <v>3</v>
      </c>
      <c r="G109" s="6">
        <f>VLOOKUP(F109,Select!C:H,6,FALSE)</f>
        <v>0</v>
      </c>
      <c r="H109" s="24" t="s">
        <v>582</v>
      </c>
      <c r="I109" s="24">
        <v>4</v>
      </c>
      <c r="J109" s="24">
        <v>3</v>
      </c>
      <c r="K109" s="24">
        <v>4</v>
      </c>
      <c r="L109" s="24"/>
      <c r="M109" s="24" t="b">
        <v>0</v>
      </c>
      <c r="N109" s="24" t="s">
        <v>477</v>
      </c>
      <c r="O109" s="15">
        <f>VLOOKUP(N109,Select!D:H,5,FALSE)</f>
        <v>0</v>
      </c>
    </row>
    <row r="110" spans="1:15">
      <c r="A110" s="23">
        <v>100810</v>
      </c>
      <c r="B110" s="1" t="s">
        <v>28</v>
      </c>
      <c r="C110" s="6">
        <f>VLOOKUP(B110,Select!A:H,8,FALSE)</f>
        <v>7</v>
      </c>
      <c r="D110" s="1" t="s">
        <v>36</v>
      </c>
      <c r="E110" s="6">
        <f>VLOOKUP(D110,Select!B:H,7,FALSE)</f>
        <v>1</v>
      </c>
      <c r="F110" s="1" t="s">
        <v>23</v>
      </c>
      <c r="G110" s="6">
        <f>VLOOKUP(F110,Select!C:H,6,FALSE)</f>
        <v>1</v>
      </c>
      <c r="H110" s="24" t="s">
        <v>583</v>
      </c>
      <c r="I110" s="24">
        <v>4</v>
      </c>
      <c r="J110" s="24"/>
      <c r="K110" s="24"/>
      <c r="L110" s="24"/>
      <c r="M110" s="24" t="b">
        <v>0</v>
      </c>
      <c r="N110" s="24" t="s">
        <v>477</v>
      </c>
      <c r="O110" s="15">
        <f>VLOOKUP(N110,Select!D:H,5,FALSE)</f>
        <v>0</v>
      </c>
    </row>
    <row r="111" spans="1:15">
      <c r="A111" s="23">
        <v>100811</v>
      </c>
      <c r="B111" s="5" t="s">
        <v>28</v>
      </c>
      <c r="C111" s="6">
        <f>VLOOKUP(B111,Select!A:H,8,FALSE)</f>
        <v>7</v>
      </c>
      <c r="D111" s="5" t="s">
        <v>10</v>
      </c>
      <c r="E111" s="6">
        <f>VLOOKUP(D111,Select!B:H,7,FALSE)</f>
        <v>0</v>
      </c>
      <c r="F111" s="5" t="s">
        <v>3</v>
      </c>
      <c r="G111" s="6">
        <f>VLOOKUP(F111,Select!C:H,6,FALSE)</f>
        <v>0</v>
      </c>
      <c r="H111" s="24" t="s">
        <v>239</v>
      </c>
      <c r="I111" s="24">
        <v>0</v>
      </c>
      <c r="J111" s="24">
        <v>1</v>
      </c>
      <c r="K111" s="24">
        <v>1</v>
      </c>
      <c r="L111" s="24"/>
      <c r="M111" s="24" t="b">
        <v>1</v>
      </c>
      <c r="N111" s="24" t="s">
        <v>477</v>
      </c>
      <c r="O111" s="15">
        <f>VLOOKUP(N111,Select!D:H,5,FALSE)</f>
        <v>0</v>
      </c>
    </row>
    <row r="112" spans="1:15">
      <c r="A112" s="23">
        <v>100812</v>
      </c>
      <c r="B112" s="1" t="s">
        <v>28</v>
      </c>
      <c r="C112" s="6">
        <f>VLOOKUP(B112,Select!A:H,8,FALSE)</f>
        <v>7</v>
      </c>
      <c r="D112" s="1" t="s">
        <v>10</v>
      </c>
      <c r="E112" s="6">
        <f>VLOOKUP(D112,Select!B:H,7,FALSE)</f>
        <v>0</v>
      </c>
      <c r="F112" s="1" t="s">
        <v>3</v>
      </c>
      <c r="G112" s="6">
        <f>VLOOKUP(F112,Select!C:H,6,FALSE)</f>
        <v>0</v>
      </c>
      <c r="H112" s="24" t="s">
        <v>584</v>
      </c>
      <c r="I112" s="24">
        <v>1</v>
      </c>
      <c r="J112" s="24">
        <v>2</v>
      </c>
      <c r="K112" s="24">
        <v>1</v>
      </c>
      <c r="L112" s="24"/>
      <c r="M112" s="24" t="b">
        <v>1</v>
      </c>
      <c r="N112" s="24" t="s">
        <v>477</v>
      </c>
      <c r="O112" s="15">
        <f>VLOOKUP(N112,Select!D:H,5,FALSE)</f>
        <v>0</v>
      </c>
    </row>
    <row r="113" spans="1:15">
      <c r="A113" s="27">
        <v>100813</v>
      </c>
      <c r="B113" s="19" t="s">
        <v>28</v>
      </c>
      <c r="C113" s="9">
        <f>VLOOKUP(B113,Select!A:H,8,FALSE)</f>
        <v>7</v>
      </c>
      <c r="D113" s="19" t="s">
        <v>10</v>
      </c>
      <c r="E113" s="9">
        <f>VLOOKUP(D113,Select!B:H,7,FALSE)</f>
        <v>0</v>
      </c>
      <c r="F113" s="19" t="s">
        <v>3</v>
      </c>
      <c r="G113" s="9">
        <f>VLOOKUP(F113,Select!C:H,6,FALSE)</f>
        <v>0</v>
      </c>
      <c r="H113" s="28" t="s">
        <v>585</v>
      </c>
      <c r="I113" s="28">
        <v>5</v>
      </c>
      <c r="J113" s="28">
        <v>4</v>
      </c>
      <c r="K113" s="28">
        <v>3</v>
      </c>
      <c r="L113" s="28"/>
      <c r="M113" s="28" t="b">
        <v>1</v>
      </c>
      <c r="N113" s="28" t="s">
        <v>477</v>
      </c>
      <c r="O113" s="20">
        <f>VLOOKUP(N113,Select!D:H,5,FALSE)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4880E17-B682-4D05-8AF4-9CD035E5685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8EE73B63-77C1-47EA-A0CD-369F687A73E7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CF5A2E5B-013C-4687-B38A-F02C11C9A2EC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FC25DD9-6ED2-46EE-8031-75AA9FD2D6F1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AFA8B89-990E-418F-97E6-E88720FC4E9D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5230FC4-2C66-4590-91F7-74B5EBE468D2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3826F97-2538-4DC7-B2B7-220EF0808017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1D5E9A5-A285-4791-84D7-6755A1E684B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B1:B113</xm:sqref>
        </x14:conditionalFormatting>
        <x14:conditionalFormatting xmlns:xm="http://schemas.microsoft.com/office/excel/2006/main">
          <x14:cfRule type="containsText" priority="1" operator="containsText" id="{B363C33D-1070-402B-BE42-60677DF3C50B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BA145F7-A509-4055-9FA1-9115413D5276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B2:B113</xm:sqref>
        </x14:conditionalFormatting>
        <x14:conditionalFormatting xmlns:xm="http://schemas.microsoft.com/office/excel/2006/main">
          <x14:cfRule type="containsText" priority="6" operator="containsText" id="{3BB734DF-DD23-42D1-ACDD-2429316CF11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CB175EDD-F03A-4C43-B5A3-5B920230490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651BAFD-4A47-4BF4-8B38-4CC1FE440EC2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A641258-05C3-4F0B-B663-C6A09C74C6D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D1:D113</xm:sqref>
        </x14:conditionalFormatting>
        <x14:conditionalFormatting xmlns:xm="http://schemas.microsoft.com/office/excel/2006/main">
          <x14:cfRule type="containsText" priority="3" operator="containsText" id="{720F4393-0AFE-4D52-BE7E-2B75DB8FB8EC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E5FBD3C4-2645-48C3-94BD-F0808D74F30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40568CF-D82D-4918-9ABD-ADCC577B04D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F1:F113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F635BC4-E5AF-489E-BA58-53615049CB4E}">
          <x14:formula1>
            <xm:f>Select!$A:$A</xm:f>
          </x14:formula1>
          <xm:sqref>B2:B113</xm:sqref>
        </x14:dataValidation>
        <x14:dataValidation type="list" allowBlank="1" showInputMessage="1" showErrorMessage="1" xr:uid="{648DB5AC-239B-4BCC-B335-3DE65A4DD44D}">
          <x14:formula1>
            <xm:f>Select!$B:$B</xm:f>
          </x14:formula1>
          <xm:sqref>D2:D113</xm:sqref>
        </x14:dataValidation>
        <x14:dataValidation type="list" allowBlank="1" showInputMessage="1" showErrorMessage="1" xr:uid="{7E27C1C2-5A97-4CF0-8242-F2A2201A9B9B}">
          <x14:formula1>
            <xm:f>Select!$C:$C</xm:f>
          </x14:formula1>
          <xm:sqref>F2:F113</xm:sqref>
        </x14:dataValidation>
        <x14:dataValidation type="list" allowBlank="1" showInputMessage="1" showErrorMessage="1" xr:uid="{B374F3D2-673A-4873-8EF6-237C00995868}">
          <x14:formula1>
            <xm:f>Select!$D:$D</xm:f>
          </x14:formula1>
          <xm:sqref>N2:N113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3DC6A-4764-468D-8FCB-7EF7E28A656C}">
  <dimension ref="A1:O344"/>
  <sheetViews>
    <sheetView topLeftCell="A317" workbookViewId="0">
      <selection activeCell="H341" sqref="H341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6" t="s">
        <v>292</v>
      </c>
      <c r="B1" s="17" t="s">
        <v>293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7</v>
      </c>
      <c r="I1" s="17" t="s">
        <v>8</v>
      </c>
      <c r="J1" s="17" t="s">
        <v>9</v>
      </c>
      <c r="K1" s="17" t="s">
        <v>299</v>
      </c>
      <c r="L1" s="17" t="s">
        <v>300</v>
      </c>
      <c r="M1" s="17" t="s">
        <v>301</v>
      </c>
      <c r="N1" s="17" t="s">
        <v>475</v>
      </c>
      <c r="O1" s="18" t="s">
        <v>476</v>
      </c>
    </row>
    <row r="2" spans="1:15">
      <c r="A2" s="23">
        <v>101000</v>
      </c>
      <c r="B2" s="1" t="s">
        <v>1</v>
      </c>
      <c r="C2" s="6">
        <f>VLOOKUP(B2,Select!A:H,8,FALSE)</f>
        <v>0</v>
      </c>
      <c r="D2" s="1" t="s">
        <v>10</v>
      </c>
      <c r="E2" s="6">
        <f>VLOOKUP(D2,Select!B:H,7,FALSE)</f>
        <v>0</v>
      </c>
      <c r="F2" s="1" t="s">
        <v>3</v>
      </c>
      <c r="G2" s="6">
        <f>VLOOKUP(F2,Select!C:H,6,FALSE)</f>
        <v>0</v>
      </c>
      <c r="H2" s="24" t="s">
        <v>586</v>
      </c>
      <c r="I2" s="24">
        <v>2</v>
      </c>
      <c r="J2" s="24">
        <v>2</v>
      </c>
      <c r="K2" s="24">
        <v>1</v>
      </c>
      <c r="L2" s="24"/>
      <c r="M2" s="24" t="b">
        <v>0</v>
      </c>
      <c r="N2" s="24" t="s">
        <v>477</v>
      </c>
      <c r="O2" s="15">
        <f>VLOOKUP(N2,Select!D:H,5,FALSE)</f>
        <v>0</v>
      </c>
    </row>
    <row r="3" spans="1:15">
      <c r="A3" s="23">
        <v>101001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24" t="s">
        <v>587</v>
      </c>
      <c r="I3" s="24">
        <v>3</v>
      </c>
      <c r="J3" s="24">
        <v>1</v>
      </c>
      <c r="K3" s="24">
        <v>4</v>
      </c>
      <c r="L3" s="24"/>
      <c r="M3" s="24" t="b">
        <v>0</v>
      </c>
      <c r="N3" s="24" t="s">
        <v>477</v>
      </c>
      <c r="O3" s="15">
        <f>VLOOKUP(N3,Select!D:H,5,FALSE)</f>
        <v>0</v>
      </c>
    </row>
    <row r="4" spans="1:15">
      <c r="A4" s="23">
        <v>101002</v>
      </c>
      <c r="B4" s="1" t="s">
        <v>1</v>
      </c>
      <c r="C4" s="6">
        <f>VLOOKUP(B4,Select!A:H,8,FALSE)</f>
        <v>0</v>
      </c>
      <c r="D4" s="1" t="s">
        <v>10</v>
      </c>
      <c r="E4" s="6">
        <f>VLOOKUP(D4,Select!B:H,7,FALSE)</f>
        <v>0</v>
      </c>
      <c r="F4" s="1" t="s">
        <v>3</v>
      </c>
      <c r="G4" s="6">
        <f>VLOOKUP(F4,Select!C:H,6,FALSE)</f>
        <v>0</v>
      </c>
      <c r="H4" s="24" t="s">
        <v>588</v>
      </c>
      <c r="I4" s="24">
        <v>3</v>
      </c>
      <c r="J4" s="24">
        <v>2</v>
      </c>
      <c r="K4" s="24">
        <v>3</v>
      </c>
      <c r="L4" s="24"/>
      <c r="M4" s="24" t="b">
        <v>0</v>
      </c>
      <c r="N4" s="24" t="s">
        <v>477</v>
      </c>
      <c r="O4" s="15">
        <f>VLOOKUP(N4,Select!D:H,5,FALSE)</f>
        <v>0</v>
      </c>
    </row>
    <row r="5" spans="1:15">
      <c r="A5" s="23">
        <v>101003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24" t="s">
        <v>589</v>
      </c>
      <c r="I5" s="24">
        <v>4</v>
      </c>
      <c r="J5" s="24">
        <v>4</v>
      </c>
      <c r="K5" s="24">
        <v>3</v>
      </c>
      <c r="L5" s="24"/>
      <c r="M5" s="24" t="b">
        <v>0</v>
      </c>
      <c r="N5" s="24" t="s">
        <v>477</v>
      </c>
      <c r="O5" s="15">
        <f>VLOOKUP(N5,Select!D:H,5,FALSE)</f>
        <v>0</v>
      </c>
    </row>
    <row r="6" spans="1:15">
      <c r="A6" s="23">
        <v>101004</v>
      </c>
      <c r="B6" s="1" t="s">
        <v>1</v>
      </c>
      <c r="C6" s="6">
        <f>VLOOKUP(B6,Select!A:H,8,FALSE)</f>
        <v>0</v>
      </c>
      <c r="D6" s="1" t="s">
        <v>10</v>
      </c>
      <c r="E6" s="6">
        <f>VLOOKUP(D6,Select!B:H,7,FALSE)</f>
        <v>0</v>
      </c>
      <c r="F6" s="1" t="s">
        <v>23</v>
      </c>
      <c r="G6" s="6">
        <f>VLOOKUP(F6,Select!C:H,6,FALSE)</f>
        <v>1</v>
      </c>
      <c r="H6" s="24" t="s">
        <v>590</v>
      </c>
      <c r="I6" s="24">
        <v>2</v>
      </c>
      <c r="J6" s="24"/>
      <c r="K6" s="24"/>
      <c r="L6" s="24"/>
      <c r="M6" s="24" t="b">
        <v>0</v>
      </c>
      <c r="N6" s="24" t="s">
        <v>477</v>
      </c>
      <c r="O6" s="15">
        <f>VLOOKUP(N6,Select!D:H,5,FALSE)</f>
        <v>0</v>
      </c>
    </row>
    <row r="7" spans="1:15">
      <c r="A7" s="23">
        <v>101005</v>
      </c>
      <c r="B7" s="5" t="s">
        <v>1</v>
      </c>
      <c r="C7" s="6">
        <f>VLOOKUP(B7,Select!A:H,8,FALSE)</f>
        <v>0</v>
      </c>
      <c r="D7" s="5" t="s">
        <v>10</v>
      </c>
      <c r="E7" s="6">
        <f>VLOOKUP(D7,Select!B:H,7,FALSE)</f>
        <v>0</v>
      </c>
      <c r="F7" s="5" t="s">
        <v>23</v>
      </c>
      <c r="G7" s="6">
        <f>VLOOKUP(F7,Select!C:H,6,FALSE)</f>
        <v>1</v>
      </c>
      <c r="H7" s="24" t="s">
        <v>591</v>
      </c>
      <c r="I7" s="24">
        <v>3</v>
      </c>
      <c r="J7" s="24"/>
      <c r="K7" s="24"/>
      <c r="L7" s="24"/>
      <c r="M7" s="24" t="b">
        <v>0</v>
      </c>
      <c r="N7" s="24" t="s">
        <v>477</v>
      </c>
      <c r="O7" s="15">
        <f>VLOOKUP(N7,Select!D:H,5,FALSE)</f>
        <v>0</v>
      </c>
    </row>
    <row r="8" spans="1:15">
      <c r="A8" s="23">
        <v>101006</v>
      </c>
      <c r="B8" s="1" t="s">
        <v>1</v>
      </c>
      <c r="C8" s="6">
        <f>VLOOKUP(B8,Select!A:H,8,FALSE)</f>
        <v>0</v>
      </c>
      <c r="D8" s="1" t="s">
        <v>10</v>
      </c>
      <c r="E8" s="6">
        <f>VLOOKUP(D8,Select!B:H,7,FALSE)</f>
        <v>0</v>
      </c>
      <c r="F8" s="1" t="s">
        <v>23</v>
      </c>
      <c r="G8" s="6">
        <f>VLOOKUP(F8,Select!C:H,6,FALSE)</f>
        <v>1</v>
      </c>
      <c r="H8" s="24" t="s">
        <v>592</v>
      </c>
      <c r="I8" s="24">
        <v>4</v>
      </c>
      <c r="J8" s="24"/>
      <c r="K8" s="24"/>
      <c r="L8" s="24"/>
      <c r="M8" s="24" t="b">
        <v>0</v>
      </c>
      <c r="N8" s="24" t="s">
        <v>477</v>
      </c>
      <c r="O8" s="15">
        <f>VLOOKUP(N8,Select!D:H,5,FALSE)</f>
        <v>0</v>
      </c>
    </row>
    <row r="9" spans="1:15">
      <c r="A9" s="23">
        <v>101007</v>
      </c>
      <c r="B9" s="5" t="s">
        <v>1</v>
      </c>
      <c r="C9" s="6">
        <f>VLOOKUP(B9,Select!A:H,8,FALSE)</f>
        <v>0</v>
      </c>
      <c r="D9" s="5" t="s">
        <v>36</v>
      </c>
      <c r="E9" s="6">
        <f>VLOOKUP(D9,Select!B:H,7,FALSE)</f>
        <v>1</v>
      </c>
      <c r="F9" s="5" t="s">
        <v>3</v>
      </c>
      <c r="G9" s="6">
        <f>VLOOKUP(F9,Select!C:H,6,FALSE)</f>
        <v>0</v>
      </c>
      <c r="H9" s="24" t="s">
        <v>593</v>
      </c>
      <c r="I9" s="24">
        <v>2</v>
      </c>
      <c r="J9" s="24">
        <v>0</v>
      </c>
      <c r="K9" s="24">
        <v>2</v>
      </c>
      <c r="L9" s="24"/>
      <c r="M9" s="24" t="b">
        <v>0</v>
      </c>
      <c r="N9" s="24" t="s">
        <v>477</v>
      </c>
      <c r="O9" s="15">
        <f>VLOOKUP(N9,Select!D:H,5,FALSE)</f>
        <v>0</v>
      </c>
    </row>
    <row r="10" spans="1:15">
      <c r="A10" s="23">
        <v>101008</v>
      </c>
      <c r="B10" s="1" t="s">
        <v>1</v>
      </c>
      <c r="C10" s="6">
        <f>VLOOKUP(B10,Select!A:H,8,FALSE)</f>
        <v>0</v>
      </c>
      <c r="D10" s="1" t="s">
        <v>36</v>
      </c>
      <c r="E10" s="6">
        <f>VLOOKUP(D10,Select!B:H,7,FALSE)</f>
        <v>1</v>
      </c>
      <c r="F10" s="1" t="s">
        <v>3</v>
      </c>
      <c r="G10" s="6">
        <f>VLOOKUP(F10,Select!C:H,6,FALSE)</f>
        <v>0</v>
      </c>
      <c r="H10" s="24" t="s">
        <v>594</v>
      </c>
      <c r="I10" s="24">
        <v>3</v>
      </c>
      <c r="J10" s="24">
        <v>3</v>
      </c>
      <c r="K10" s="24">
        <v>2</v>
      </c>
      <c r="L10" s="24"/>
      <c r="M10" s="24" t="b">
        <v>0</v>
      </c>
      <c r="N10" s="24" t="s">
        <v>477</v>
      </c>
      <c r="O10" s="15">
        <f>VLOOKUP(N10,Select!D:H,5,FALSE)</f>
        <v>0</v>
      </c>
    </row>
    <row r="11" spans="1:15">
      <c r="A11" s="23">
        <v>101009</v>
      </c>
      <c r="B11" s="5" t="s">
        <v>1</v>
      </c>
      <c r="C11" s="6">
        <f>VLOOKUP(B11,Select!A:H,8,FALSE)</f>
        <v>0</v>
      </c>
      <c r="D11" s="5" t="s">
        <v>36</v>
      </c>
      <c r="E11" s="6">
        <f>VLOOKUP(D11,Select!B:H,7,FALSE)</f>
        <v>1</v>
      </c>
      <c r="F11" s="5" t="s">
        <v>3</v>
      </c>
      <c r="G11" s="6">
        <f>VLOOKUP(F11,Select!C:H,6,FALSE)</f>
        <v>0</v>
      </c>
      <c r="H11" s="24" t="s">
        <v>595</v>
      </c>
      <c r="I11" s="24">
        <v>5</v>
      </c>
      <c r="J11" s="24">
        <v>3</v>
      </c>
      <c r="K11" s="24">
        <v>7</v>
      </c>
      <c r="L11" s="24"/>
      <c r="M11" s="24" t="b">
        <v>0</v>
      </c>
      <c r="N11" s="24" t="s">
        <v>477</v>
      </c>
      <c r="O11" s="15">
        <f>VLOOKUP(N11,Select!D:H,5,FALSE)</f>
        <v>0</v>
      </c>
    </row>
    <row r="12" spans="1:15">
      <c r="A12" s="23">
        <v>101010</v>
      </c>
      <c r="B12" s="1" t="s">
        <v>1</v>
      </c>
      <c r="C12" s="6">
        <f>VLOOKUP(B12,Select!A:H,8,FALSE)</f>
        <v>0</v>
      </c>
      <c r="D12" s="1" t="s">
        <v>36</v>
      </c>
      <c r="E12" s="6">
        <f>VLOOKUP(D12,Select!B:H,7,FALSE)</f>
        <v>1</v>
      </c>
      <c r="F12" s="1" t="s">
        <v>3</v>
      </c>
      <c r="G12" s="6">
        <f>VLOOKUP(F12,Select!C:H,6,FALSE)</f>
        <v>0</v>
      </c>
      <c r="H12" s="24" t="s">
        <v>596</v>
      </c>
      <c r="I12" s="24">
        <v>8</v>
      </c>
      <c r="J12" s="24">
        <v>5</v>
      </c>
      <c r="K12" s="24">
        <v>4</v>
      </c>
      <c r="L12" s="24"/>
      <c r="M12" s="24" t="b">
        <v>0</v>
      </c>
      <c r="N12" s="24" t="s">
        <v>477</v>
      </c>
      <c r="O12" s="15">
        <f>VLOOKUP(N12,Select!D:H,5,FALSE)</f>
        <v>0</v>
      </c>
    </row>
    <row r="13" spans="1:15">
      <c r="A13" s="23">
        <v>101011</v>
      </c>
      <c r="B13" s="5" t="s">
        <v>1</v>
      </c>
      <c r="C13" s="6">
        <f>VLOOKUP(B13,Select!A:H,8,FALSE)</f>
        <v>0</v>
      </c>
      <c r="D13" s="5" t="s">
        <v>36</v>
      </c>
      <c r="E13" s="6">
        <f>VLOOKUP(D13,Select!B:H,7,FALSE)</f>
        <v>1</v>
      </c>
      <c r="F13" s="5" t="s">
        <v>23</v>
      </c>
      <c r="G13" s="6">
        <f>VLOOKUP(F13,Select!C:H,6,FALSE)</f>
        <v>1</v>
      </c>
      <c r="H13" s="24" t="s">
        <v>597</v>
      </c>
      <c r="I13" s="24">
        <v>1</v>
      </c>
      <c r="J13" s="24"/>
      <c r="K13" s="24"/>
      <c r="L13" s="24"/>
      <c r="M13" s="24" t="b">
        <v>0</v>
      </c>
      <c r="N13" s="24" t="s">
        <v>477</v>
      </c>
      <c r="O13" s="15">
        <f>VLOOKUP(N13,Select!D:H,5,FALSE)</f>
        <v>0</v>
      </c>
    </row>
    <row r="14" spans="1:15">
      <c r="A14" s="23">
        <v>101012</v>
      </c>
      <c r="B14" s="1" t="s">
        <v>1</v>
      </c>
      <c r="C14" s="6">
        <f>VLOOKUP(B14,Select!A:H,8,FALSE)</f>
        <v>0</v>
      </c>
      <c r="D14" s="1" t="s">
        <v>36</v>
      </c>
      <c r="E14" s="6">
        <f>VLOOKUP(D14,Select!B:H,7,FALSE)</f>
        <v>1</v>
      </c>
      <c r="F14" s="1" t="s">
        <v>23</v>
      </c>
      <c r="G14" s="6">
        <f>VLOOKUP(F14,Select!C:H,6,FALSE)</f>
        <v>1</v>
      </c>
      <c r="H14" s="24" t="s">
        <v>598</v>
      </c>
      <c r="I14" s="24">
        <v>2</v>
      </c>
      <c r="J14" s="24"/>
      <c r="K14" s="24"/>
      <c r="L14" s="24"/>
      <c r="M14" s="24" t="b">
        <v>0</v>
      </c>
      <c r="N14" s="24" t="s">
        <v>477</v>
      </c>
      <c r="O14" s="15">
        <f>VLOOKUP(N14,Select!D:H,5,FALSE)</f>
        <v>0</v>
      </c>
    </row>
    <row r="15" spans="1:15">
      <c r="A15" s="23">
        <v>101013</v>
      </c>
      <c r="B15" s="5" t="s">
        <v>1</v>
      </c>
      <c r="C15" s="6">
        <f>VLOOKUP(B15,Select!A:H,8,FALSE)</f>
        <v>0</v>
      </c>
      <c r="D15" s="5" t="s">
        <v>36</v>
      </c>
      <c r="E15" s="6">
        <f>VLOOKUP(D15,Select!B:H,7,FALSE)</f>
        <v>1</v>
      </c>
      <c r="F15" s="5" t="s">
        <v>23</v>
      </c>
      <c r="G15" s="6">
        <f>VLOOKUP(F15,Select!C:H,6,FALSE)</f>
        <v>1</v>
      </c>
      <c r="H15" s="24" t="s">
        <v>599</v>
      </c>
      <c r="I15" s="24">
        <v>3</v>
      </c>
      <c r="J15" s="24"/>
      <c r="K15" s="24"/>
      <c r="L15" s="24"/>
      <c r="M15" s="24" t="b">
        <v>0</v>
      </c>
      <c r="N15" s="24" t="s">
        <v>477</v>
      </c>
      <c r="O15" s="15">
        <f>VLOOKUP(N15,Select!D:H,5,FALSE)</f>
        <v>0</v>
      </c>
    </row>
    <row r="16" spans="1:15">
      <c r="A16" s="23">
        <v>101014</v>
      </c>
      <c r="B16" s="1" t="s">
        <v>1</v>
      </c>
      <c r="C16" s="6">
        <f>VLOOKUP(B16,Select!A:H,8,FALSE)</f>
        <v>0</v>
      </c>
      <c r="D16" s="1" t="s">
        <v>36</v>
      </c>
      <c r="E16" s="6">
        <f>VLOOKUP(D16,Select!B:H,7,FALSE)</f>
        <v>1</v>
      </c>
      <c r="F16" s="1" t="s">
        <v>23</v>
      </c>
      <c r="G16" s="6">
        <f>VLOOKUP(F16,Select!C:H,6,FALSE)</f>
        <v>1</v>
      </c>
      <c r="H16" s="24" t="s">
        <v>600</v>
      </c>
      <c r="I16" s="24">
        <v>5</v>
      </c>
      <c r="J16" s="24"/>
      <c r="K16" s="24"/>
      <c r="L16" s="24"/>
      <c r="M16" s="24" t="b">
        <v>0</v>
      </c>
      <c r="N16" s="24" t="s">
        <v>477</v>
      </c>
      <c r="O16" s="15">
        <f>VLOOKUP(N16,Select!D:H,5,FALSE)</f>
        <v>0</v>
      </c>
    </row>
    <row r="17" spans="1:15">
      <c r="A17" s="23">
        <v>101015</v>
      </c>
      <c r="B17" s="5" t="s">
        <v>1</v>
      </c>
      <c r="C17" s="6">
        <f>VLOOKUP(B17,Select!A:H,8,FALSE)</f>
        <v>0</v>
      </c>
      <c r="D17" s="5" t="s">
        <v>21</v>
      </c>
      <c r="E17" s="6">
        <f>VLOOKUP(D17,Select!B:H,7,FALSE)</f>
        <v>2</v>
      </c>
      <c r="F17" s="5" t="s">
        <v>3</v>
      </c>
      <c r="G17" s="6">
        <f>VLOOKUP(F17,Select!C:H,6,FALSE)</f>
        <v>0</v>
      </c>
      <c r="H17" s="24" t="s">
        <v>601</v>
      </c>
      <c r="I17" s="24">
        <v>4</v>
      </c>
      <c r="J17" s="24">
        <v>3</v>
      </c>
      <c r="K17" s="24">
        <v>3</v>
      </c>
      <c r="L17" s="24"/>
      <c r="M17" s="24" t="b">
        <v>0</v>
      </c>
      <c r="N17" s="24" t="s">
        <v>477</v>
      </c>
      <c r="O17" s="15">
        <f>VLOOKUP(N17,Select!D:H,5,FALSE)</f>
        <v>0</v>
      </c>
    </row>
    <row r="18" spans="1:15">
      <c r="A18" s="23">
        <v>101016</v>
      </c>
      <c r="B18" s="1" t="s">
        <v>1</v>
      </c>
      <c r="C18" s="6">
        <f>VLOOKUP(B18,Select!A:H,8,FALSE)</f>
        <v>0</v>
      </c>
      <c r="D18" s="1" t="s">
        <v>21</v>
      </c>
      <c r="E18" s="6">
        <f>VLOOKUP(D18,Select!B:H,7,FALSE)</f>
        <v>2</v>
      </c>
      <c r="F18" s="1" t="s">
        <v>3</v>
      </c>
      <c r="G18" s="6">
        <f>VLOOKUP(F18,Select!C:H,6,FALSE)</f>
        <v>0</v>
      </c>
      <c r="H18" s="24" t="s">
        <v>602</v>
      </c>
      <c r="I18" s="24">
        <v>5</v>
      </c>
      <c r="J18" s="24">
        <v>1</v>
      </c>
      <c r="K18" s="24">
        <v>5</v>
      </c>
      <c r="L18" s="24"/>
      <c r="M18" s="24" t="b">
        <v>0</v>
      </c>
      <c r="N18" s="24" t="s">
        <v>477</v>
      </c>
      <c r="O18" s="15">
        <f>VLOOKUP(N18,Select!D:H,5,FALSE)</f>
        <v>0</v>
      </c>
    </row>
    <row r="19" spans="1:15">
      <c r="A19" s="23">
        <v>101017</v>
      </c>
      <c r="B19" s="5" t="s">
        <v>1</v>
      </c>
      <c r="C19" s="6">
        <f>VLOOKUP(B19,Select!A:H,8,FALSE)</f>
        <v>0</v>
      </c>
      <c r="D19" s="5" t="s">
        <v>21</v>
      </c>
      <c r="E19" s="6">
        <f>VLOOKUP(D19,Select!B:H,7,FALSE)</f>
        <v>2</v>
      </c>
      <c r="F19" s="5" t="s">
        <v>3</v>
      </c>
      <c r="G19" s="6">
        <f>VLOOKUP(F19,Select!C:H,6,FALSE)</f>
        <v>0</v>
      </c>
      <c r="H19" s="24" t="s">
        <v>603</v>
      </c>
      <c r="I19" s="24">
        <v>6</v>
      </c>
      <c r="J19" s="24">
        <v>6</v>
      </c>
      <c r="K19" s="24">
        <v>6</v>
      </c>
      <c r="L19" s="24"/>
      <c r="M19" s="24" t="b">
        <v>0</v>
      </c>
      <c r="N19" s="24" t="s">
        <v>477</v>
      </c>
      <c r="O19" s="15">
        <f>VLOOKUP(N19,Select!D:H,5,FALSE)</f>
        <v>0</v>
      </c>
    </row>
    <row r="20" spans="1:15">
      <c r="A20" s="23">
        <v>101018</v>
      </c>
      <c r="B20" s="1" t="s">
        <v>1</v>
      </c>
      <c r="C20" s="6">
        <f>VLOOKUP(B20,Select!A:H,8,FALSE)</f>
        <v>0</v>
      </c>
      <c r="D20" s="1" t="s">
        <v>21</v>
      </c>
      <c r="E20" s="6">
        <f>VLOOKUP(D20,Select!B:H,7,FALSE)</f>
        <v>2</v>
      </c>
      <c r="F20" s="1" t="s">
        <v>3</v>
      </c>
      <c r="G20" s="6">
        <f>VLOOKUP(F20,Select!C:H,6,FALSE)</f>
        <v>0</v>
      </c>
      <c r="H20" s="24" t="s">
        <v>604</v>
      </c>
      <c r="I20" s="24">
        <v>6</v>
      </c>
      <c r="J20" s="24">
        <v>5</v>
      </c>
      <c r="K20" s="24">
        <v>4</v>
      </c>
      <c r="L20" s="24"/>
      <c r="M20" s="24" t="b">
        <v>0</v>
      </c>
      <c r="N20" s="24" t="s">
        <v>477</v>
      </c>
      <c r="O20" s="15">
        <f>VLOOKUP(N20,Select!D:H,5,FALSE)</f>
        <v>0</v>
      </c>
    </row>
    <row r="21" spans="1:15">
      <c r="A21" s="23">
        <v>101019</v>
      </c>
      <c r="B21" s="5" t="s">
        <v>1</v>
      </c>
      <c r="C21" s="6">
        <f>VLOOKUP(B21,Select!A:H,8,FALSE)</f>
        <v>0</v>
      </c>
      <c r="D21" s="5" t="s">
        <v>21</v>
      </c>
      <c r="E21" s="6">
        <f>VLOOKUP(D21,Select!B:H,7,FALSE)</f>
        <v>2</v>
      </c>
      <c r="F21" s="5" t="s">
        <v>23</v>
      </c>
      <c r="G21" s="6">
        <f>VLOOKUP(F21,Select!C:H,6,FALSE)</f>
        <v>1</v>
      </c>
      <c r="H21" s="24" t="s">
        <v>605</v>
      </c>
      <c r="I21" s="24">
        <v>2</v>
      </c>
      <c r="J21" s="24"/>
      <c r="K21" s="24"/>
      <c r="L21" s="24"/>
      <c r="M21" s="24" t="b">
        <v>0</v>
      </c>
      <c r="N21" s="24" t="s">
        <v>477</v>
      </c>
      <c r="O21" s="15">
        <f>VLOOKUP(N21,Select!D:H,5,FALSE)</f>
        <v>0</v>
      </c>
    </row>
    <row r="22" spans="1:15">
      <c r="A22" s="23">
        <v>101020</v>
      </c>
      <c r="B22" s="1" t="s">
        <v>1</v>
      </c>
      <c r="C22" s="6">
        <f>VLOOKUP(B22,Select!A:H,8,FALSE)</f>
        <v>0</v>
      </c>
      <c r="D22" s="1" t="s">
        <v>21</v>
      </c>
      <c r="E22" s="6">
        <f>VLOOKUP(D22,Select!B:H,7,FALSE)</f>
        <v>2</v>
      </c>
      <c r="F22" s="1" t="s">
        <v>34</v>
      </c>
      <c r="G22" s="6">
        <f>VLOOKUP(F22,Select!C:H,6,FALSE)</f>
        <v>2</v>
      </c>
      <c r="H22" s="24" t="s">
        <v>606</v>
      </c>
      <c r="I22" s="24">
        <v>4</v>
      </c>
      <c r="J22" s="24"/>
      <c r="K22" s="24"/>
      <c r="L22" s="24"/>
      <c r="M22" s="24" t="b">
        <v>0</v>
      </c>
      <c r="N22" s="24" t="s">
        <v>477</v>
      </c>
      <c r="O22" s="15">
        <f>VLOOKUP(N22,Select!D:H,5,FALSE)</f>
        <v>0</v>
      </c>
    </row>
    <row r="23" spans="1:15">
      <c r="A23" s="23">
        <v>101021</v>
      </c>
      <c r="B23" s="5" t="s">
        <v>1</v>
      </c>
      <c r="C23" s="6">
        <f>VLOOKUP(B23,Select!A:H,8,FALSE)</f>
        <v>0</v>
      </c>
      <c r="D23" s="5" t="s">
        <v>30</v>
      </c>
      <c r="E23" s="6">
        <f>VLOOKUP(D23,Select!B:H,7,FALSE)</f>
        <v>3</v>
      </c>
      <c r="F23" s="5" t="s">
        <v>3</v>
      </c>
      <c r="G23" s="6">
        <f>VLOOKUP(F23,Select!C:H,6,FALSE)</f>
        <v>0</v>
      </c>
      <c r="H23" s="24" t="s">
        <v>607</v>
      </c>
      <c r="I23" s="24">
        <v>7</v>
      </c>
      <c r="J23" s="24">
        <v>3</v>
      </c>
      <c r="K23" s="24">
        <v>4</v>
      </c>
      <c r="L23" s="24"/>
      <c r="M23" s="24" t="b">
        <v>0</v>
      </c>
      <c r="N23" s="24" t="s">
        <v>477</v>
      </c>
      <c r="O23" s="15">
        <f>VLOOKUP(N23,Select!D:H,5,FALSE)</f>
        <v>0</v>
      </c>
    </row>
    <row r="24" spans="1:15">
      <c r="A24" s="23">
        <v>101022</v>
      </c>
      <c r="B24" s="1" t="s">
        <v>1</v>
      </c>
      <c r="C24" s="6">
        <f>VLOOKUP(B24,Select!A:H,8,FALSE)</f>
        <v>0</v>
      </c>
      <c r="D24" s="1" t="s">
        <v>30</v>
      </c>
      <c r="E24" s="6">
        <f>VLOOKUP(D24,Select!B:H,7,FALSE)</f>
        <v>3</v>
      </c>
      <c r="F24" s="1" t="s">
        <v>3</v>
      </c>
      <c r="G24" s="6">
        <f>VLOOKUP(F24,Select!C:H,6,FALSE)</f>
        <v>0</v>
      </c>
      <c r="H24" s="24" t="s">
        <v>608</v>
      </c>
      <c r="I24" s="24">
        <v>8</v>
      </c>
      <c r="J24" s="24">
        <v>6</v>
      </c>
      <c r="K24" s="24">
        <v>7</v>
      </c>
      <c r="L24" s="24"/>
      <c r="M24" s="24" t="b">
        <v>0</v>
      </c>
      <c r="N24" s="24" t="s">
        <v>477</v>
      </c>
      <c r="O24" s="15">
        <f>VLOOKUP(N24,Select!D:H,5,FALSE)</f>
        <v>0</v>
      </c>
    </row>
    <row r="25" spans="1:15">
      <c r="A25" s="23">
        <v>101023</v>
      </c>
      <c r="B25" s="5" t="s">
        <v>1</v>
      </c>
      <c r="C25" s="6">
        <f>VLOOKUP(B25,Select!A:H,8,FALSE)</f>
        <v>0</v>
      </c>
      <c r="D25" s="5" t="s">
        <v>30</v>
      </c>
      <c r="E25" s="6">
        <f>VLOOKUP(D25,Select!B:H,7,FALSE)</f>
        <v>3</v>
      </c>
      <c r="F25" s="5" t="s">
        <v>3</v>
      </c>
      <c r="G25" s="6">
        <f>VLOOKUP(F25,Select!C:H,6,FALSE)</f>
        <v>0</v>
      </c>
      <c r="H25" s="24" t="s">
        <v>609</v>
      </c>
      <c r="I25" s="24">
        <v>10</v>
      </c>
      <c r="J25" s="24">
        <v>6</v>
      </c>
      <c r="K25" s="24">
        <v>6</v>
      </c>
      <c r="L25" s="24"/>
      <c r="M25" s="24" t="b">
        <v>0</v>
      </c>
      <c r="N25" s="24" t="s">
        <v>477</v>
      </c>
      <c r="O25" s="15">
        <f>VLOOKUP(N25,Select!D:H,5,FALSE)</f>
        <v>0</v>
      </c>
    </row>
    <row r="26" spans="1:15">
      <c r="A26" s="23">
        <v>101024</v>
      </c>
      <c r="B26" s="1" t="s">
        <v>1</v>
      </c>
      <c r="C26" s="6">
        <f>VLOOKUP(B26,Select!A:H,8,FALSE)</f>
        <v>0</v>
      </c>
      <c r="D26" s="1" t="s">
        <v>30</v>
      </c>
      <c r="E26" s="6">
        <f>VLOOKUP(D26,Select!B:H,7,FALSE)</f>
        <v>3</v>
      </c>
      <c r="F26" s="1" t="s">
        <v>3</v>
      </c>
      <c r="G26" s="6">
        <f>VLOOKUP(F26,Select!C:H,6,FALSE)</f>
        <v>0</v>
      </c>
      <c r="H26" s="24" t="s">
        <v>258</v>
      </c>
      <c r="I26" s="24">
        <v>5</v>
      </c>
      <c r="J26" s="24">
        <v>13</v>
      </c>
      <c r="K26" s="24">
        <v>13</v>
      </c>
      <c r="L26" s="24"/>
      <c r="M26" s="24" t="b">
        <v>1</v>
      </c>
      <c r="N26" s="24" t="s">
        <v>477</v>
      </c>
      <c r="O26" s="15">
        <f>VLOOKUP(N26,Select!D:H,5,FALSE)</f>
        <v>0</v>
      </c>
    </row>
    <row r="27" spans="1:15">
      <c r="A27" s="23">
        <v>101025</v>
      </c>
      <c r="B27" s="5" t="s">
        <v>1</v>
      </c>
      <c r="C27" s="6">
        <f>VLOOKUP(B27,Select!A:H,8,FALSE)</f>
        <v>0</v>
      </c>
      <c r="D27" s="5" t="s">
        <v>30</v>
      </c>
      <c r="E27" s="6">
        <f>VLOOKUP(D27,Select!B:H,7,FALSE)</f>
        <v>3</v>
      </c>
      <c r="F27" s="5" t="s">
        <v>3</v>
      </c>
      <c r="G27" s="6">
        <f>VLOOKUP(F27,Select!C:H,6,FALSE)</f>
        <v>0</v>
      </c>
      <c r="H27" s="24" t="s">
        <v>260</v>
      </c>
      <c r="I27" s="24">
        <v>6</v>
      </c>
      <c r="J27" s="24">
        <v>8</v>
      </c>
      <c r="K27" s="24">
        <v>8</v>
      </c>
      <c r="L27" s="24"/>
      <c r="M27" s="24" t="b">
        <v>1</v>
      </c>
      <c r="N27" s="24" t="s">
        <v>477</v>
      </c>
      <c r="O27" s="15">
        <f>VLOOKUP(N27,Select!D:H,5,FALSE)</f>
        <v>0</v>
      </c>
    </row>
    <row r="28" spans="1:15">
      <c r="A28" s="23">
        <v>101026</v>
      </c>
      <c r="B28" s="1" t="s">
        <v>1</v>
      </c>
      <c r="C28" s="6">
        <f>VLOOKUP(B28,Select!A:H,8,FALSE)</f>
        <v>0</v>
      </c>
      <c r="D28" s="1" t="s">
        <v>30</v>
      </c>
      <c r="E28" s="6">
        <f>VLOOKUP(D28,Select!B:H,7,FALSE)</f>
        <v>3</v>
      </c>
      <c r="F28" s="1" t="s">
        <v>23</v>
      </c>
      <c r="G28" s="6">
        <f>VLOOKUP(F28,Select!C:H,6,FALSE)</f>
        <v>1</v>
      </c>
      <c r="H28" s="24" t="s">
        <v>610</v>
      </c>
      <c r="I28" s="24">
        <v>7</v>
      </c>
      <c r="J28" s="24"/>
      <c r="K28" s="24"/>
      <c r="L28" s="24"/>
      <c r="M28" s="24" t="b">
        <v>1</v>
      </c>
      <c r="N28" s="24" t="s">
        <v>477</v>
      </c>
      <c r="O28" s="15">
        <f>VLOOKUP(N28,Select!D:H,5,FALSE)</f>
        <v>0</v>
      </c>
    </row>
    <row r="29" spans="1:15">
      <c r="A29" s="23">
        <v>101027</v>
      </c>
      <c r="B29" s="5" t="s">
        <v>1</v>
      </c>
      <c r="C29" s="6">
        <f>VLOOKUP(B29,Select!A:H,8,FALSE)</f>
        <v>0</v>
      </c>
      <c r="D29" s="5" t="s">
        <v>30</v>
      </c>
      <c r="E29" s="6">
        <f>VLOOKUP(D29,Select!B:H,7,FALSE)</f>
        <v>3</v>
      </c>
      <c r="F29" s="5" t="s">
        <v>23</v>
      </c>
      <c r="G29" s="6">
        <f>VLOOKUP(F29,Select!C:H,6,FALSE)</f>
        <v>1</v>
      </c>
      <c r="H29" s="24" t="s">
        <v>261</v>
      </c>
      <c r="I29" s="24">
        <v>10</v>
      </c>
      <c r="J29" s="24"/>
      <c r="K29" s="24"/>
      <c r="L29" s="24"/>
      <c r="M29" s="24" t="b">
        <v>1</v>
      </c>
      <c r="N29" s="24" t="s">
        <v>477</v>
      </c>
      <c r="O29" s="15">
        <f>VLOOKUP(N29,Select!D:H,5,FALSE)</f>
        <v>0</v>
      </c>
    </row>
    <row r="30" spans="1:15">
      <c r="A30" s="23">
        <v>101100</v>
      </c>
      <c r="B30" s="1" t="s">
        <v>24</v>
      </c>
      <c r="C30" s="6">
        <f>VLOOKUP(B30,Select!A:H,8,FALSE)</f>
        <v>1</v>
      </c>
      <c r="D30" s="1" t="s">
        <v>10</v>
      </c>
      <c r="E30" s="6">
        <f>VLOOKUP(D30,Select!B:H,7,FALSE)</f>
        <v>0</v>
      </c>
      <c r="F30" s="1" t="s">
        <v>3</v>
      </c>
      <c r="G30" s="6">
        <f>VLOOKUP(F30,Select!C:H,6,FALSE)</f>
        <v>0</v>
      </c>
      <c r="H30" s="24" t="s">
        <v>611</v>
      </c>
      <c r="I30" s="24">
        <v>1</v>
      </c>
      <c r="J30" s="24">
        <v>1</v>
      </c>
      <c r="K30" s="24">
        <v>1</v>
      </c>
      <c r="L30" s="24"/>
      <c r="M30" s="24" t="b">
        <v>0</v>
      </c>
      <c r="N30" s="24" t="s">
        <v>477</v>
      </c>
      <c r="O30" s="15">
        <f>VLOOKUP(N30,Select!D:H,5,FALSE)</f>
        <v>0</v>
      </c>
    </row>
    <row r="31" spans="1:15">
      <c r="A31" s="23">
        <v>101101</v>
      </c>
      <c r="B31" s="5" t="s">
        <v>24</v>
      </c>
      <c r="C31" s="6">
        <f>VLOOKUP(B31,Select!A:H,8,FALSE)</f>
        <v>1</v>
      </c>
      <c r="D31" s="5" t="s">
        <v>10</v>
      </c>
      <c r="E31" s="6">
        <f>VLOOKUP(D31,Select!B:H,7,FALSE)</f>
        <v>0</v>
      </c>
      <c r="F31" s="5" t="s">
        <v>3</v>
      </c>
      <c r="G31" s="6">
        <f>VLOOKUP(F31,Select!C:H,6,FALSE)</f>
        <v>0</v>
      </c>
      <c r="H31" s="24" t="s">
        <v>612</v>
      </c>
      <c r="I31" s="24">
        <v>1</v>
      </c>
      <c r="J31" s="24">
        <v>1</v>
      </c>
      <c r="K31" s="24">
        <v>1</v>
      </c>
      <c r="L31" s="24"/>
      <c r="M31" s="24" t="b">
        <v>0</v>
      </c>
      <c r="N31" s="24" t="s">
        <v>477</v>
      </c>
      <c r="O31" s="15">
        <f>VLOOKUP(N31,Select!D:H,5,FALSE)</f>
        <v>0</v>
      </c>
    </row>
    <row r="32" spans="1:15">
      <c r="A32" s="23">
        <v>101102</v>
      </c>
      <c r="B32" s="1" t="s">
        <v>24</v>
      </c>
      <c r="C32" s="6">
        <f>VLOOKUP(B32,Select!A:H,8,FALSE)</f>
        <v>1</v>
      </c>
      <c r="D32" s="1" t="s">
        <v>10</v>
      </c>
      <c r="E32" s="6">
        <f>VLOOKUP(D32,Select!B:H,7,FALSE)</f>
        <v>0</v>
      </c>
      <c r="F32" s="1" t="s">
        <v>3</v>
      </c>
      <c r="G32" s="6">
        <f>VLOOKUP(F32,Select!C:H,6,FALSE)</f>
        <v>0</v>
      </c>
      <c r="H32" s="24" t="s">
        <v>613</v>
      </c>
      <c r="I32" s="24">
        <v>2</v>
      </c>
      <c r="J32" s="24">
        <v>2</v>
      </c>
      <c r="K32" s="24">
        <v>2</v>
      </c>
      <c r="L32" s="24"/>
      <c r="M32" s="24" t="b">
        <v>0</v>
      </c>
      <c r="N32" s="24" t="s">
        <v>477</v>
      </c>
      <c r="O32" s="15">
        <f>VLOOKUP(N32,Select!D:H,5,FALSE)</f>
        <v>0</v>
      </c>
    </row>
    <row r="33" spans="1:15">
      <c r="A33" s="23">
        <v>101103</v>
      </c>
      <c r="B33" s="5" t="s">
        <v>24</v>
      </c>
      <c r="C33" s="6">
        <f>VLOOKUP(B33,Select!A:H,8,FALSE)</f>
        <v>1</v>
      </c>
      <c r="D33" s="5" t="s">
        <v>10</v>
      </c>
      <c r="E33" s="6">
        <f>VLOOKUP(D33,Select!B:H,7,FALSE)</f>
        <v>0</v>
      </c>
      <c r="F33" s="5" t="s">
        <v>3</v>
      </c>
      <c r="G33" s="6">
        <f>VLOOKUP(F33,Select!C:H,6,FALSE)</f>
        <v>0</v>
      </c>
      <c r="H33" s="24" t="s">
        <v>614</v>
      </c>
      <c r="I33" s="24">
        <v>2</v>
      </c>
      <c r="J33" s="24">
        <v>1</v>
      </c>
      <c r="K33" s="24">
        <v>3</v>
      </c>
      <c r="L33" s="24"/>
      <c r="M33" s="24" t="b">
        <v>0</v>
      </c>
      <c r="N33" s="24" t="s">
        <v>477</v>
      </c>
      <c r="O33" s="15">
        <f>VLOOKUP(N33,Select!D:H,5,FALSE)</f>
        <v>0</v>
      </c>
    </row>
    <row r="34" spans="1:15">
      <c r="A34" s="23">
        <v>101104</v>
      </c>
      <c r="B34" s="1" t="s">
        <v>24</v>
      </c>
      <c r="C34" s="6">
        <f>VLOOKUP(B34,Select!A:H,8,FALSE)</f>
        <v>1</v>
      </c>
      <c r="D34" s="1" t="s">
        <v>10</v>
      </c>
      <c r="E34" s="6">
        <f>VLOOKUP(D34,Select!B:H,7,FALSE)</f>
        <v>0</v>
      </c>
      <c r="F34" s="1" t="s">
        <v>3</v>
      </c>
      <c r="G34" s="6">
        <f>VLOOKUP(F34,Select!C:H,6,FALSE)</f>
        <v>0</v>
      </c>
      <c r="H34" s="24" t="s">
        <v>615</v>
      </c>
      <c r="I34" s="24">
        <v>2</v>
      </c>
      <c r="J34" s="24">
        <v>2</v>
      </c>
      <c r="K34" s="24">
        <v>1</v>
      </c>
      <c r="L34" s="24"/>
      <c r="M34" s="24" t="b">
        <v>0</v>
      </c>
      <c r="N34" s="24" t="s">
        <v>477</v>
      </c>
      <c r="O34" s="15">
        <f>VLOOKUP(N34,Select!D:H,5,FALSE)</f>
        <v>0</v>
      </c>
    </row>
    <row r="35" spans="1:15">
      <c r="A35" s="23">
        <v>101105</v>
      </c>
      <c r="B35" s="5" t="s">
        <v>24</v>
      </c>
      <c r="C35" s="6">
        <f>VLOOKUP(B35,Select!A:H,8,FALSE)</f>
        <v>1</v>
      </c>
      <c r="D35" s="5" t="s">
        <v>10</v>
      </c>
      <c r="E35" s="6">
        <f>VLOOKUP(D35,Select!B:H,7,FALSE)</f>
        <v>0</v>
      </c>
      <c r="F35" s="5" t="s">
        <v>3</v>
      </c>
      <c r="G35" s="6">
        <f>VLOOKUP(F35,Select!C:H,6,FALSE)</f>
        <v>0</v>
      </c>
      <c r="H35" s="24" t="s">
        <v>616</v>
      </c>
      <c r="I35" s="24">
        <v>2</v>
      </c>
      <c r="J35" s="24">
        <v>2</v>
      </c>
      <c r="K35" s="24">
        <v>2</v>
      </c>
      <c r="L35" s="24"/>
      <c r="M35" s="24" t="b">
        <v>0</v>
      </c>
      <c r="N35" s="24" t="s">
        <v>477</v>
      </c>
      <c r="O35" s="15">
        <f>VLOOKUP(N35,Select!D:H,5,FALSE)</f>
        <v>0</v>
      </c>
    </row>
    <row r="36" spans="1:15">
      <c r="A36" s="23">
        <v>101106</v>
      </c>
      <c r="B36" s="1" t="s">
        <v>24</v>
      </c>
      <c r="C36" s="6">
        <f>VLOOKUP(B36,Select!A:H,8,FALSE)</f>
        <v>1</v>
      </c>
      <c r="D36" s="1" t="s">
        <v>10</v>
      </c>
      <c r="E36" s="6">
        <f>VLOOKUP(D36,Select!B:H,7,FALSE)</f>
        <v>0</v>
      </c>
      <c r="F36" s="1" t="s">
        <v>3</v>
      </c>
      <c r="G36" s="6">
        <f>VLOOKUP(F36,Select!C:H,6,FALSE)</f>
        <v>0</v>
      </c>
      <c r="H36" s="24" t="s">
        <v>617</v>
      </c>
      <c r="I36" s="24">
        <v>3</v>
      </c>
      <c r="J36" s="24">
        <v>2</v>
      </c>
      <c r="K36" s="24">
        <v>2</v>
      </c>
      <c r="L36" s="24"/>
      <c r="M36" s="24" t="b">
        <v>0</v>
      </c>
      <c r="N36" s="24" t="s">
        <v>477</v>
      </c>
      <c r="O36" s="15">
        <f>VLOOKUP(N36,Select!D:H,5,FALSE)</f>
        <v>0</v>
      </c>
    </row>
    <row r="37" spans="1:15">
      <c r="A37" s="23">
        <v>101107</v>
      </c>
      <c r="B37" s="5" t="s">
        <v>24</v>
      </c>
      <c r="C37" s="6">
        <f>VLOOKUP(B37,Select!A:H,8,FALSE)</f>
        <v>1</v>
      </c>
      <c r="D37" s="5" t="s">
        <v>10</v>
      </c>
      <c r="E37" s="6">
        <f>VLOOKUP(D37,Select!B:H,7,FALSE)</f>
        <v>0</v>
      </c>
      <c r="F37" s="5" t="s">
        <v>3</v>
      </c>
      <c r="G37" s="6">
        <f>VLOOKUP(F37,Select!C:H,6,FALSE)</f>
        <v>0</v>
      </c>
      <c r="H37" s="24" t="s">
        <v>618</v>
      </c>
      <c r="I37" s="24">
        <v>3</v>
      </c>
      <c r="J37" s="24">
        <v>2</v>
      </c>
      <c r="K37" s="24">
        <v>1</v>
      </c>
      <c r="L37" s="24"/>
      <c r="M37" s="24" t="b">
        <v>0</v>
      </c>
      <c r="N37" s="24" t="s">
        <v>477</v>
      </c>
      <c r="O37" s="15">
        <f>VLOOKUP(N37,Select!D:H,5,FALSE)</f>
        <v>0</v>
      </c>
    </row>
    <row r="38" spans="1:15">
      <c r="A38" s="23">
        <v>101108</v>
      </c>
      <c r="B38" s="1" t="s">
        <v>24</v>
      </c>
      <c r="C38" s="6">
        <f>VLOOKUP(B38,Select!A:H,8,FALSE)</f>
        <v>1</v>
      </c>
      <c r="D38" s="1" t="s">
        <v>10</v>
      </c>
      <c r="E38" s="6">
        <f>VLOOKUP(D38,Select!B:H,7,FALSE)</f>
        <v>0</v>
      </c>
      <c r="F38" s="1" t="s">
        <v>3</v>
      </c>
      <c r="G38" s="6">
        <f>VLOOKUP(F38,Select!C:H,6,FALSE)</f>
        <v>0</v>
      </c>
      <c r="H38" s="24" t="s">
        <v>619</v>
      </c>
      <c r="I38" s="24">
        <v>5</v>
      </c>
      <c r="J38" s="24">
        <v>3</v>
      </c>
      <c r="K38" s="24">
        <v>3</v>
      </c>
      <c r="L38" s="24"/>
      <c r="M38" s="24" t="b">
        <v>0</v>
      </c>
      <c r="N38" s="24" t="s">
        <v>477</v>
      </c>
      <c r="O38" s="15">
        <f>VLOOKUP(N38,Select!D:H,5,FALSE)</f>
        <v>0</v>
      </c>
    </row>
    <row r="39" spans="1:15">
      <c r="A39" s="23">
        <v>101109</v>
      </c>
      <c r="B39" s="5" t="s">
        <v>24</v>
      </c>
      <c r="C39" s="6">
        <f>VLOOKUP(B39,Select!A:H,8,FALSE)</f>
        <v>1</v>
      </c>
      <c r="D39" s="5" t="s">
        <v>10</v>
      </c>
      <c r="E39" s="6">
        <f>VLOOKUP(D39,Select!B:H,7,FALSE)</f>
        <v>0</v>
      </c>
      <c r="F39" s="5" t="s">
        <v>23</v>
      </c>
      <c r="G39" s="6">
        <f>VLOOKUP(F39,Select!C:H,6,FALSE)</f>
        <v>1</v>
      </c>
      <c r="H39" s="24" t="s">
        <v>620</v>
      </c>
      <c r="I39" s="24">
        <v>1</v>
      </c>
      <c r="J39" s="24"/>
      <c r="K39" s="24"/>
      <c r="L39" s="24"/>
      <c r="M39" s="24" t="b">
        <v>0</v>
      </c>
      <c r="N39" s="24" t="s">
        <v>477</v>
      </c>
      <c r="O39" s="15">
        <f>VLOOKUP(N39,Select!D:H,5,FALSE)</f>
        <v>0</v>
      </c>
    </row>
    <row r="40" spans="1:15">
      <c r="A40" s="23">
        <v>101110</v>
      </c>
      <c r="B40" s="1" t="s">
        <v>24</v>
      </c>
      <c r="C40" s="6">
        <f>VLOOKUP(B40,Select!A:H,8,FALSE)</f>
        <v>1</v>
      </c>
      <c r="D40" s="1" t="s">
        <v>10</v>
      </c>
      <c r="E40" s="6">
        <f>VLOOKUP(D40,Select!B:H,7,FALSE)</f>
        <v>0</v>
      </c>
      <c r="F40" s="1" t="s">
        <v>23</v>
      </c>
      <c r="G40" s="6">
        <f>VLOOKUP(F40,Select!C:H,6,FALSE)</f>
        <v>1</v>
      </c>
      <c r="H40" s="24" t="s">
        <v>621</v>
      </c>
      <c r="I40" s="24">
        <v>1</v>
      </c>
      <c r="J40" s="24"/>
      <c r="K40" s="24"/>
      <c r="L40" s="24"/>
      <c r="M40" s="24" t="b">
        <v>0</v>
      </c>
      <c r="N40" s="24" t="s">
        <v>477</v>
      </c>
      <c r="O40" s="15">
        <f>VLOOKUP(N40,Select!D:H,5,FALSE)</f>
        <v>0</v>
      </c>
    </row>
    <row r="41" spans="1:15">
      <c r="A41" s="23">
        <v>101111</v>
      </c>
      <c r="B41" s="5" t="s">
        <v>24</v>
      </c>
      <c r="C41" s="6">
        <f>VLOOKUP(B41,Select!A:H,8,FALSE)</f>
        <v>1</v>
      </c>
      <c r="D41" s="5" t="s">
        <v>10</v>
      </c>
      <c r="E41" s="6">
        <f>VLOOKUP(D41,Select!B:H,7,FALSE)</f>
        <v>0</v>
      </c>
      <c r="F41" s="5" t="s">
        <v>23</v>
      </c>
      <c r="G41" s="6">
        <f>VLOOKUP(F41,Select!C:H,6,FALSE)</f>
        <v>1</v>
      </c>
      <c r="H41" s="24" t="s">
        <v>622</v>
      </c>
      <c r="I41" s="24">
        <v>2</v>
      </c>
      <c r="J41" s="24"/>
      <c r="K41" s="24"/>
      <c r="L41" s="24"/>
      <c r="M41" s="24" t="b">
        <v>0</v>
      </c>
      <c r="N41" s="24" t="s">
        <v>477</v>
      </c>
      <c r="O41" s="15">
        <f>VLOOKUP(N41,Select!D:H,5,FALSE)</f>
        <v>0</v>
      </c>
    </row>
    <row r="42" spans="1:15">
      <c r="A42" s="23">
        <v>101112</v>
      </c>
      <c r="B42" s="1" t="s">
        <v>24</v>
      </c>
      <c r="C42" s="6">
        <f>VLOOKUP(B42,Select!A:H,8,FALSE)</f>
        <v>1</v>
      </c>
      <c r="D42" s="1" t="s">
        <v>10</v>
      </c>
      <c r="E42" s="6">
        <f>VLOOKUP(D42,Select!B:H,7,FALSE)</f>
        <v>0</v>
      </c>
      <c r="F42" s="1" t="s">
        <v>5</v>
      </c>
      <c r="G42" s="6">
        <f>VLOOKUP(F42,Select!C:H,6,FALSE)</f>
        <v>1</v>
      </c>
      <c r="H42" s="24" t="s">
        <v>623</v>
      </c>
      <c r="I42" s="24">
        <v>2</v>
      </c>
      <c r="J42" s="24"/>
      <c r="K42" s="24"/>
      <c r="L42" s="24"/>
      <c r="M42" s="24" t="b">
        <v>0</v>
      </c>
      <c r="N42" s="24" t="s">
        <v>477</v>
      </c>
      <c r="O42" s="15">
        <f>VLOOKUP(N42,Select!D:H,5,FALSE)</f>
        <v>0</v>
      </c>
    </row>
    <row r="43" spans="1:15">
      <c r="A43" s="23">
        <v>101113</v>
      </c>
      <c r="B43" s="5" t="s">
        <v>24</v>
      </c>
      <c r="C43" s="6">
        <f>VLOOKUP(B43,Select!A:H,8,FALSE)</f>
        <v>1</v>
      </c>
      <c r="D43" s="5" t="s">
        <v>10</v>
      </c>
      <c r="E43" s="6">
        <f>VLOOKUP(D43,Select!B:H,7,FALSE)</f>
        <v>0</v>
      </c>
      <c r="F43" s="5" t="s">
        <v>23</v>
      </c>
      <c r="G43" s="6">
        <f>VLOOKUP(F43,Select!C:H,6,FALSE)</f>
        <v>1</v>
      </c>
      <c r="H43" s="24" t="s">
        <v>624</v>
      </c>
      <c r="I43" s="24">
        <v>3</v>
      </c>
      <c r="J43" s="24"/>
      <c r="K43" s="24"/>
      <c r="L43" s="24"/>
      <c r="M43" s="24" t="b">
        <v>0</v>
      </c>
      <c r="N43" s="24" t="s">
        <v>477</v>
      </c>
      <c r="O43" s="15">
        <f>VLOOKUP(N43,Select!D:H,5,FALSE)</f>
        <v>0</v>
      </c>
    </row>
    <row r="44" spans="1:15">
      <c r="A44" s="23">
        <v>101114</v>
      </c>
      <c r="B44" s="1" t="s">
        <v>24</v>
      </c>
      <c r="C44" s="6">
        <f>VLOOKUP(B44,Select!A:H,8,FALSE)</f>
        <v>1</v>
      </c>
      <c r="D44" s="1" t="s">
        <v>10</v>
      </c>
      <c r="E44" s="6">
        <f>VLOOKUP(D44,Select!B:H,7,FALSE)</f>
        <v>0</v>
      </c>
      <c r="F44" s="1" t="s">
        <v>23</v>
      </c>
      <c r="G44" s="6">
        <f>VLOOKUP(F44,Select!C:H,6,FALSE)</f>
        <v>1</v>
      </c>
      <c r="H44" s="24" t="s">
        <v>625</v>
      </c>
      <c r="I44" s="24">
        <v>4</v>
      </c>
      <c r="J44" s="24"/>
      <c r="K44" s="24"/>
      <c r="L44" s="24"/>
      <c r="M44" s="24" t="b">
        <v>0</v>
      </c>
      <c r="N44" s="24" t="s">
        <v>477</v>
      </c>
      <c r="O44" s="15">
        <f>VLOOKUP(N44,Select!D:H,5,FALSE)</f>
        <v>0</v>
      </c>
    </row>
    <row r="45" spans="1:15">
      <c r="A45" s="23">
        <v>101115</v>
      </c>
      <c r="B45" s="5" t="s">
        <v>24</v>
      </c>
      <c r="C45" s="6">
        <f>VLOOKUP(B45,Select!A:H,8,FALSE)</f>
        <v>1</v>
      </c>
      <c r="D45" s="5" t="s">
        <v>10</v>
      </c>
      <c r="E45" s="6">
        <f>VLOOKUP(D45,Select!B:H,7,FALSE)</f>
        <v>0</v>
      </c>
      <c r="F45" s="5" t="s">
        <v>34</v>
      </c>
      <c r="G45" s="6">
        <f>VLOOKUP(F45,Select!C:H,6,FALSE)</f>
        <v>2</v>
      </c>
      <c r="H45" s="24" t="s">
        <v>626</v>
      </c>
      <c r="I45" s="24">
        <v>2</v>
      </c>
      <c r="J45" s="24"/>
      <c r="K45" s="24"/>
      <c r="L45" s="24"/>
      <c r="M45" s="24" t="b">
        <v>0</v>
      </c>
      <c r="N45" s="24" t="s">
        <v>477</v>
      </c>
      <c r="O45" s="15">
        <f>VLOOKUP(N45,Select!D:H,5,FALSE)</f>
        <v>0</v>
      </c>
    </row>
    <row r="46" spans="1:15">
      <c r="A46" s="23">
        <v>101116</v>
      </c>
      <c r="B46" s="1" t="s">
        <v>24</v>
      </c>
      <c r="C46" s="6">
        <f>VLOOKUP(B46,Select!A:H,8,FALSE)</f>
        <v>1</v>
      </c>
      <c r="D46" s="1" t="s">
        <v>10</v>
      </c>
      <c r="E46" s="6">
        <f>VLOOKUP(D46,Select!B:H,7,FALSE)</f>
        <v>0</v>
      </c>
      <c r="F46" s="1" t="s">
        <v>34</v>
      </c>
      <c r="G46" s="6">
        <f>VLOOKUP(F46,Select!C:H,6,FALSE)</f>
        <v>2</v>
      </c>
      <c r="H46" s="24" t="s">
        <v>627</v>
      </c>
      <c r="I46" s="24">
        <v>3</v>
      </c>
      <c r="J46" s="24"/>
      <c r="K46" s="24"/>
      <c r="L46" s="24"/>
      <c r="M46" s="24" t="b">
        <v>0</v>
      </c>
      <c r="N46" s="24" t="s">
        <v>477</v>
      </c>
      <c r="O46" s="15">
        <f>VLOOKUP(N46,Select!D:H,5,FALSE)</f>
        <v>0</v>
      </c>
    </row>
    <row r="47" spans="1:15">
      <c r="A47" s="23">
        <v>101117</v>
      </c>
      <c r="B47" s="5" t="s">
        <v>24</v>
      </c>
      <c r="C47" s="6">
        <f>VLOOKUP(B47,Select!A:H,8,FALSE)</f>
        <v>1</v>
      </c>
      <c r="D47" s="5" t="s">
        <v>36</v>
      </c>
      <c r="E47" s="6">
        <f>VLOOKUP(D47,Select!B:H,7,FALSE)</f>
        <v>1</v>
      </c>
      <c r="F47" s="5" t="s">
        <v>3</v>
      </c>
      <c r="G47" s="6">
        <f>VLOOKUP(F47,Select!C:H,6,FALSE)</f>
        <v>0</v>
      </c>
      <c r="H47" s="24" t="s">
        <v>628</v>
      </c>
      <c r="I47" s="24">
        <v>2</v>
      </c>
      <c r="J47" s="24">
        <v>1</v>
      </c>
      <c r="K47" s="24">
        <v>1</v>
      </c>
      <c r="L47" s="24"/>
      <c r="M47" s="24" t="b">
        <v>0</v>
      </c>
      <c r="N47" s="24" t="s">
        <v>477</v>
      </c>
      <c r="O47" s="15">
        <f>VLOOKUP(N47,Select!D:H,5,FALSE)</f>
        <v>0</v>
      </c>
    </row>
    <row r="48" spans="1:15">
      <c r="A48" s="23">
        <v>101118</v>
      </c>
      <c r="B48" s="1" t="s">
        <v>24</v>
      </c>
      <c r="C48" s="6">
        <f>VLOOKUP(B48,Select!A:H,8,FALSE)</f>
        <v>1</v>
      </c>
      <c r="D48" s="1" t="s">
        <v>36</v>
      </c>
      <c r="E48" s="6">
        <f>VLOOKUP(D48,Select!B:H,7,FALSE)</f>
        <v>1</v>
      </c>
      <c r="F48" s="1" t="s">
        <v>3</v>
      </c>
      <c r="G48" s="6">
        <f>VLOOKUP(F48,Select!C:H,6,FALSE)</f>
        <v>0</v>
      </c>
      <c r="H48" s="24" t="s">
        <v>629</v>
      </c>
      <c r="I48" s="24">
        <v>3</v>
      </c>
      <c r="J48" s="24">
        <v>2</v>
      </c>
      <c r="K48" s="24">
        <v>2</v>
      </c>
      <c r="L48" s="24"/>
      <c r="M48" s="24" t="b">
        <v>0</v>
      </c>
      <c r="N48" s="24" t="s">
        <v>477</v>
      </c>
      <c r="O48" s="15">
        <f>VLOOKUP(N48,Select!D:H,5,FALSE)</f>
        <v>0</v>
      </c>
    </row>
    <row r="49" spans="1:15">
      <c r="A49" s="23">
        <v>101119</v>
      </c>
      <c r="B49" s="5" t="s">
        <v>24</v>
      </c>
      <c r="C49" s="6">
        <f>VLOOKUP(B49,Select!A:H,8,FALSE)</f>
        <v>1</v>
      </c>
      <c r="D49" s="5" t="s">
        <v>36</v>
      </c>
      <c r="E49" s="6">
        <f>VLOOKUP(D49,Select!B:H,7,FALSE)</f>
        <v>1</v>
      </c>
      <c r="F49" s="5" t="s">
        <v>3</v>
      </c>
      <c r="G49" s="6">
        <f>VLOOKUP(F49,Select!C:H,6,FALSE)</f>
        <v>0</v>
      </c>
      <c r="H49" s="24" t="s">
        <v>630</v>
      </c>
      <c r="I49" s="24">
        <v>3</v>
      </c>
      <c r="J49" s="24">
        <v>2</v>
      </c>
      <c r="K49" s="24">
        <v>2</v>
      </c>
      <c r="L49" s="24"/>
      <c r="M49" s="24" t="b">
        <v>0</v>
      </c>
      <c r="N49" s="24" t="s">
        <v>477</v>
      </c>
      <c r="O49" s="15">
        <f>VLOOKUP(N49,Select!D:H,5,FALSE)</f>
        <v>0</v>
      </c>
    </row>
    <row r="50" spans="1:15">
      <c r="A50" s="23">
        <v>101120</v>
      </c>
      <c r="B50" s="1" t="s">
        <v>24</v>
      </c>
      <c r="C50" s="6">
        <f>VLOOKUP(B50,Select!A:H,8,FALSE)</f>
        <v>1</v>
      </c>
      <c r="D50" s="1" t="s">
        <v>36</v>
      </c>
      <c r="E50" s="6">
        <f>VLOOKUP(D50,Select!B:H,7,FALSE)</f>
        <v>1</v>
      </c>
      <c r="F50" s="1" t="s">
        <v>3</v>
      </c>
      <c r="G50" s="6">
        <f>VLOOKUP(F50,Select!C:H,6,FALSE)</f>
        <v>0</v>
      </c>
      <c r="H50" s="24" t="s">
        <v>631</v>
      </c>
      <c r="I50" s="24">
        <v>3</v>
      </c>
      <c r="J50" s="24">
        <v>3</v>
      </c>
      <c r="K50" s="24">
        <v>1</v>
      </c>
      <c r="L50" s="24"/>
      <c r="M50" s="24" t="b">
        <v>0</v>
      </c>
      <c r="N50" s="24" t="s">
        <v>477</v>
      </c>
      <c r="O50" s="15">
        <f>VLOOKUP(N50,Select!D:H,5,FALSE)</f>
        <v>0</v>
      </c>
    </row>
    <row r="51" spans="1:15">
      <c r="A51" s="23">
        <v>101121</v>
      </c>
      <c r="B51" s="5" t="s">
        <v>24</v>
      </c>
      <c r="C51" s="6">
        <f>VLOOKUP(B51,Select!A:H,8,FALSE)</f>
        <v>1</v>
      </c>
      <c r="D51" s="5" t="s">
        <v>36</v>
      </c>
      <c r="E51" s="6">
        <f>VLOOKUP(D51,Select!B:H,7,FALSE)</f>
        <v>1</v>
      </c>
      <c r="F51" s="5" t="s">
        <v>3</v>
      </c>
      <c r="G51" s="6">
        <f>VLOOKUP(F51,Select!C:H,6,FALSE)</f>
        <v>0</v>
      </c>
      <c r="H51" s="24" t="s">
        <v>632</v>
      </c>
      <c r="I51" s="24">
        <v>4</v>
      </c>
      <c r="J51" s="24">
        <v>3</v>
      </c>
      <c r="K51" s="24">
        <v>4</v>
      </c>
      <c r="L51" s="24"/>
      <c r="M51" s="24" t="b">
        <v>0</v>
      </c>
      <c r="N51" s="24" t="s">
        <v>477</v>
      </c>
      <c r="O51" s="15">
        <f>VLOOKUP(N51,Select!D:H,5,FALSE)</f>
        <v>0</v>
      </c>
    </row>
    <row r="52" spans="1:15">
      <c r="A52" s="23">
        <v>101122</v>
      </c>
      <c r="B52" s="1" t="s">
        <v>24</v>
      </c>
      <c r="C52" s="6">
        <f>VLOOKUP(B52,Select!A:H,8,FALSE)</f>
        <v>1</v>
      </c>
      <c r="D52" s="1" t="s">
        <v>36</v>
      </c>
      <c r="E52" s="6">
        <f>VLOOKUP(D52,Select!B:H,7,FALSE)</f>
        <v>1</v>
      </c>
      <c r="F52" s="1" t="s">
        <v>3</v>
      </c>
      <c r="G52" s="6">
        <f>VLOOKUP(F52,Select!C:H,6,FALSE)</f>
        <v>0</v>
      </c>
      <c r="H52" s="24" t="s">
        <v>633</v>
      </c>
      <c r="I52" s="24">
        <v>4</v>
      </c>
      <c r="J52" s="24">
        <v>4</v>
      </c>
      <c r="K52" s="24">
        <v>3</v>
      </c>
      <c r="L52" s="24"/>
      <c r="M52" s="24" t="b">
        <v>0</v>
      </c>
      <c r="N52" s="24" t="s">
        <v>477</v>
      </c>
      <c r="O52" s="15">
        <f>VLOOKUP(N52,Select!D:H,5,FALSE)</f>
        <v>0</v>
      </c>
    </row>
    <row r="53" spans="1:15">
      <c r="A53" s="23">
        <v>101123</v>
      </c>
      <c r="B53" s="5" t="s">
        <v>24</v>
      </c>
      <c r="C53" s="6">
        <f>VLOOKUP(B53,Select!A:H,8,FALSE)</f>
        <v>1</v>
      </c>
      <c r="D53" s="5" t="s">
        <v>36</v>
      </c>
      <c r="E53" s="6">
        <f>VLOOKUP(D53,Select!B:H,7,FALSE)</f>
        <v>1</v>
      </c>
      <c r="F53" s="5" t="s">
        <v>3</v>
      </c>
      <c r="G53" s="6">
        <f>VLOOKUP(F53,Select!C:H,6,FALSE)</f>
        <v>0</v>
      </c>
      <c r="H53" s="24" t="s">
        <v>634</v>
      </c>
      <c r="I53" s="24">
        <v>5</v>
      </c>
      <c r="J53" s="24">
        <v>4</v>
      </c>
      <c r="K53" s="24">
        <v>5</v>
      </c>
      <c r="L53" s="24"/>
      <c r="M53" s="24" t="b">
        <v>0</v>
      </c>
      <c r="N53" s="24" t="s">
        <v>477</v>
      </c>
      <c r="O53" s="15">
        <f>VLOOKUP(N53,Select!D:H,5,FALSE)</f>
        <v>0</v>
      </c>
    </row>
    <row r="54" spans="1:15">
      <c r="A54" s="23">
        <v>101124</v>
      </c>
      <c r="B54" s="1" t="s">
        <v>24</v>
      </c>
      <c r="C54" s="6">
        <f>VLOOKUP(B54,Select!A:H,8,FALSE)</f>
        <v>1</v>
      </c>
      <c r="D54" s="1" t="s">
        <v>36</v>
      </c>
      <c r="E54" s="6">
        <f>VLOOKUP(D54,Select!B:H,7,FALSE)</f>
        <v>1</v>
      </c>
      <c r="F54" s="1" t="s">
        <v>3</v>
      </c>
      <c r="G54" s="6">
        <f>VLOOKUP(F54,Select!C:H,6,FALSE)</f>
        <v>0</v>
      </c>
      <c r="H54" s="24" t="s">
        <v>635</v>
      </c>
      <c r="I54" s="24">
        <v>6</v>
      </c>
      <c r="J54" s="24">
        <v>5</v>
      </c>
      <c r="K54" s="24">
        <v>4</v>
      </c>
      <c r="L54" s="24"/>
      <c r="M54" s="24" t="b">
        <v>0</v>
      </c>
      <c r="N54" s="24" t="s">
        <v>477</v>
      </c>
      <c r="O54" s="15">
        <f>VLOOKUP(N54,Select!D:H,5,FALSE)</f>
        <v>0</v>
      </c>
    </row>
    <row r="55" spans="1:15">
      <c r="A55" s="23">
        <v>101125</v>
      </c>
      <c r="B55" s="5" t="s">
        <v>24</v>
      </c>
      <c r="C55" s="6">
        <f>VLOOKUP(B55,Select!A:H,8,FALSE)</f>
        <v>1</v>
      </c>
      <c r="D55" s="5" t="s">
        <v>36</v>
      </c>
      <c r="E55" s="6">
        <f>VLOOKUP(D55,Select!B:H,7,FALSE)</f>
        <v>1</v>
      </c>
      <c r="F55" s="5" t="s">
        <v>3</v>
      </c>
      <c r="G55" s="6">
        <f>VLOOKUP(F55,Select!C:H,6,FALSE)</f>
        <v>0</v>
      </c>
      <c r="H55" s="24" t="s">
        <v>636</v>
      </c>
      <c r="I55" s="24">
        <v>6</v>
      </c>
      <c r="J55" s="24">
        <v>4</v>
      </c>
      <c r="K55" s="24">
        <v>4</v>
      </c>
      <c r="L55" s="24"/>
      <c r="M55" s="24" t="b">
        <v>0</v>
      </c>
      <c r="N55" s="24" t="s">
        <v>477</v>
      </c>
      <c r="O55" s="15">
        <f>VLOOKUP(N55,Select!D:H,5,FALSE)</f>
        <v>0</v>
      </c>
    </row>
    <row r="56" spans="1:15">
      <c r="A56" s="23">
        <v>101126</v>
      </c>
      <c r="B56" s="1" t="s">
        <v>24</v>
      </c>
      <c r="C56" s="6">
        <f>VLOOKUP(B56,Select!A:H,8,FALSE)</f>
        <v>1</v>
      </c>
      <c r="D56" s="1" t="s">
        <v>36</v>
      </c>
      <c r="E56" s="6">
        <f>VLOOKUP(D56,Select!B:H,7,FALSE)</f>
        <v>1</v>
      </c>
      <c r="F56" s="1" t="s">
        <v>3</v>
      </c>
      <c r="G56" s="6">
        <f>VLOOKUP(F56,Select!C:H,6,FALSE)</f>
        <v>0</v>
      </c>
      <c r="H56" s="24" t="s">
        <v>637</v>
      </c>
      <c r="I56" s="24">
        <v>7</v>
      </c>
      <c r="J56" s="24">
        <v>5</v>
      </c>
      <c r="K56" s="24">
        <v>7</v>
      </c>
      <c r="L56" s="24"/>
      <c r="M56" s="24" t="b">
        <v>0</v>
      </c>
      <c r="N56" s="24" t="s">
        <v>477</v>
      </c>
      <c r="O56" s="15">
        <f>VLOOKUP(N56,Select!D:H,5,FALSE)</f>
        <v>0</v>
      </c>
    </row>
    <row r="57" spans="1:15">
      <c r="A57" s="23">
        <v>101127</v>
      </c>
      <c r="B57" s="5" t="s">
        <v>24</v>
      </c>
      <c r="C57" s="6">
        <f>VLOOKUP(B57,Select!A:H,8,FALSE)</f>
        <v>1</v>
      </c>
      <c r="D57" s="5" t="s">
        <v>36</v>
      </c>
      <c r="E57" s="6">
        <f>VLOOKUP(D57,Select!B:H,7,FALSE)</f>
        <v>1</v>
      </c>
      <c r="F57" s="5" t="s">
        <v>3</v>
      </c>
      <c r="G57" s="6">
        <f>VLOOKUP(F57,Select!C:H,6,FALSE)</f>
        <v>0</v>
      </c>
      <c r="H57" s="24" t="s">
        <v>638</v>
      </c>
      <c r="I57" s="24">
        <v>8</v>
      </c>
      <c r="J57" s="24">
        <v>5</v>
      </c>
      <c r="K57" s="24">
        <v>6</v>
      </c>
      <c r="L57" s="24"/>
      <c r="M57" s="24" t="b">
        <v>0</v>
      </c>
      <c r="N57" s="24" t="s">
        <v>477</v>
      </c>
      <c r="O57" s="15">
        <f>VLOOKUP(N57,Select!D:H,5,FALSE)</f>
        <v>0</v>
      </c>
    </row>
    <row r="58" spans="1:15">
      <c r="A58" s="23">
        <v>101128</v>
      </c>
      <c r="B58" s="1" t="s">
        <v>24</v>
      </c>
      <c r="C58" s="6">
        <f>VLOOKUP(B58,Select!A:H,8,FALSE)</f>
        <v>1</v>
      </c>
      <c r="D58" s="1" t="s">
        <v>36</v>
      </c>
      <c r="E58" s="6">
        <f>VLOOKUP(D58,Select!B:H,7,FALSE)</f>
        <v>1</v>
      </c>
      <c r="F58" s="1" t="s">
        <v>34</v>
      </c>
      <c r="G58" s="6">
        <f>VLOOKUP(F58,Select!C:H,6,FALSE)</f>
        <v>2</v>
      </c>
      <c r="H58" s="24" t="s">
        <v>639</v>
      </c>
      <c r="I58" s="24">
        <v>1</v>
      </c>
      <c r="J58" s="24"/>
      <c r="K58" s="24"/>
      <c r="L58" s="24"/>
      <c r="M58" s="24" t="b">
        <v>0</v>
      </c>
      <c r="N58" s="24" t="s">
        <v>477</v>
      </c>
      <c r="O58" s="15">
        <f>VLOOKUP(N58,Select!D:H,5,FALSE)</f>
        <v>0</v>
      </c>
    </row>
    <row r="59" spans="1:15">
      <c r="A59" s="23">
        <v>101129</v>
      </c>
      <c r="B59" s="5" t="s">
        <v>24</v>
      </c>
      <c r="C59" s="6">
        <f>VLOOKUP(B59,Select!A:H,8,FALSE)</f>
        <v>1</v>
      </c>
      <c r="D59" s="5" t="s">
        <v>36</v>
      </c>
      <c r="E59" s="6">
        <f>VLOOKUP(D59,Select!B:H,7,FALSE)</f>
        <v>1</v>
      </c>
      <c r="F59" s="5" t="s">
        <v>34</v>
      </c>
      <c r="G59" s="6">
        <f>VLOOKUP(F59,Select!C:H,6,FALSE)</f>
        <v>2</v>
      </c>
      <c r="H59" s="24" t="s">
        <v>640</v>
      </c>
      <c r="I59" s="24">
        <v>2</v>
      </c>
      <c r="J59" s="24"/>
      <c r="K59" s="24"/>
      <c r="L59" s="24"/>
      <c r="M59" s="24" t="b">
        <v>0</v>
      </c>
      <c r="N59" s="24" t="s">
        <v>477</v>
      </c>
      <c r="O59" s="15">
        <f>VLOOKUP(N59,Select!D:H,5,FALSE)</f>
        <v>0</v>
      </c>
    </row>
    <row r="60" spans="1:15">
      <c r="A60" s="23">
        <v>101130</v>
      </c>
      <c r="B60" s="1" t="s">
        <v>24</v>
      </c>
      <c r="C60" s="6">
        <f>VLOOKUP(B60,Select!A:H,8,FALSE)</f>
        <v>1</v>
      </c>
      <c r="D60" s="1" t="s">
        <v>21</v>
      </c>
      <c r="E60" s="6">
        <f>VLOOKUP(D60,Select!B:H,7,FALSE)</f>
        <v>2</v>
      </c>
      <c r="F60" s="1" t="s">
        <v>3</v>
      </c>
      <c r="G60" s="6">
        <f>VLOOKUP(F60,Select!C:H,6,FALSE)</f>
        <v>0</v>
      </c>
      <c r="H60" s="24" t="s">
        <v>641</v>
      </c>
      <c r="I60" s="24">
        <v>2</v>
      </c>
      <c r="J60" s="24">
        <v>1</v>
      </c>
      <c r="K60" s="24">
        <v>1</v>
      </c>
      <c r="L60" s="24"/>
      <c r="M60" s="24" t="b">
        <v>0</v>
      </c>
      <c r="N60" s="24" t="s">
        <v>477</v>
      </c>
      <c r="O60" s="15">
        <f>VLOOKUP(N60,Select!D:H,5,FALSE)</f>
        <v>0</v>
      </c>
    </row>
    <row r="61" spans="1:15">
      <c r="A61" s="23">
        <v>101131</v>
      </c>
      <c r="B61" s="5" t="s">
        <v>24</v>
      </c>
      <c r="C61" s="6">
        <f>VLOOKUP(B61,Select!A:H,8,FALSE)</f>
        <v>1</v>
      </c>
      <c r="D61" s="5" t="s">
        <v>21</v>
      </c>
      <c r="E61" s="6">
        <f>VLOOKUP(D61,Select!B:H,7,FALSE)</f>
        <v>2</v>
      </c>
      <c r="F61" s="5" t="s">
        <v>3</v>
      </c>
      <c r="G61" s="6">
        <f>VLOOKUP(F61,Select!C:H,6,FALSE)</f>
        <v>0</v>
      </c>
      <c r="H61" s="24" t="s">
        <v>642</v>
      </c>
      <c r="I61" s="24">
        <v>4</v>
      </c>
      <c r="J61" s="24">
        <v>2</v>
      </c>
      <c r="K61" s="24">
        <v>2</v>
      </c>
      <c r="L61" s="24"/>
      <c r="M61" s="24" t="b">
        <v>0</v>
      </c>
      <c r="N61" s="24" t="s">
        <v>477</v>
      </c>
      <c r="O61" s="15">
        <f>VLOOKUP(N61,Select!D:H,5,FALSE)</f>
        <v>0</v>
      </c>
    </row>
    <row r="62" spans="1:15">
      <c r="A62" s="23">
        <v>101132</v>
      </c>
      <c r="B62" s="1" t="s">
        <v>24</v>
      </c>
      <c r="C62" s="6">
        <f>VLOOKUP(B62,Select!A:H,8,FALSE)</f>
        <v>1</v>
      </c>
      <c r="D62" s="1" t="s">
        <v>21</v>
      </c>
      <c r="E62" s="6">
        <f>VLOOKUP(D62,Select!B:H,7,FALSE)</f>
        <v>2</v>
      </c>
      <c r="F62" s="1" t="s">
        <v>3</v>
      </c>
      <c r="G62" s="6">
        <f>VLOOKUP(F62,Select!C:H,6,FALSE)</f>
        <v>0</v>
      </c>
      <c r="H62" s="24" t="s">
        <v>643</v>
      </c>
      <c r="I62" s="24">
        <v>5</v>
      </c>
      <c r="J62" s="24">
        <v>4</v>
      </c>
      <c r="K62" s="24">
        <v>4</v>
      </c>
      <c r="L62" s="24"/>
      <c r="M62" s="24" t="b">
        <v>0</v>
      </c>
      <c r="N62" s="24" t="s">
        <v>477</v>
      </c>
      <c r="O62" s="15">
        <f>VLOOKUP(N62,Select!D:H,5,FALSE)</f>
        <v>0</v>
      </c>
    </row>
    <row r="63" spans="1:15">
      <c r="A63" s="23">
        <v>101133</v>
      </c>
      <c r="B63" s="5" t="s">
        <v>24</v>
      </c>
      <c r="C63" s="6">
        <f>VLOOKUP(B63,Select!A:H,8,FALSE)</f>
        <v>1</v>
      </c>
      <c r="D63" s="5" t="s">
        <v>21</v>
      </c>
      <c r="E63" s="6">
        <f>VLOOKUP(D63,Select!B:H,7,FALSE)</f>
        <v>2</v>
      </c>
      <c r="F63" s="5" t="s">
        <v>3</v>
      </c>
      <c r="G63" s="6">
        <f>VLOOKUP(F63,Select!C:H,6,FALSE)</f>
        <v>0</v>
      </c>
      <c r="H63" s="24" t="s">
        <v>644</v>
      </c>
      <c r="I63" s="24">
        <v>5</v>
      </c>
      <c r="J63" s="24">
        <v>3</v>
      </c>
      <c r="K63" s="24">
        <v>6</v>
      </c>
      <c r="L63" s="24"/>
      <c r="M63" s="24" t="b">
        <v>0</v>
      </c>
      <c r="N63" s="24" t="s">
        <v>477</v>
      </c>
      <c r="O63" s="15">
        <f>VLOOKUP(N63,Select!D:H,5,FALSE)</f>
        <v>0</v>
      </c>
    </row>
    <row r="64" spans="1:15">
      <c r="A64" s="23">
        <v>101134</v>
      </c>
      <c r="B64" s="1" t="s">
        <v>24</v>
      </c>
      <c r="C64" s="6">
        <f>VLOOKUP(B64,Select!A:H,8,FALSE)</f>
        <v>1</v>
      </c>
      <c r="D64" s="1" t="s">
        <v>21</v>
      </c>
      <c r="E64" s="6">
        <f>VLOOKUP(D64,Select!B:H,7,FALSE)</f>
        <v>2</v>
      </c>
      <c r="F64" s="1" t="s">
        <v>3</v>
      </c>
      <c r="G64" s="6">
        <f>VLOOKUP(F64,Select!C:H,6,FALSE)</f>
        <v>0</v>
      </c>
      <c r="H64" s="24" t="s">
        <v>645</v>
      </c>
      <c r="I64" s="24">
        <v>8</v>
      </c>
      <c r="J64" s="24">
        <v>6</v>
      </c>
      <c r="K64" s="24">
        <v>8</v>
      </c>
      <c r="L64" s="24"/>
      <c r="M64" s="24" t="b">
        <v>0</v>
      </c>
      <c r="N64" s="24" t="s">
        <v>477</v>
      </c>
      <c r="O64" s="15">
        <f>VLOOKUP(N64,Select!D:H,5,FALSE)</f>
        <v>0</v>
      </c>
    </row>
    <row r="65" spans="1:15">
      <c r="A65" s="23">
        <v>101135</v>
      </c>
      <c r="B65" s="5" t="s">
        <v>24</v>
      </c>
      <c r="C65" s="6">
        <f>VLOOKUP(B65,Select!A:H,8,FALSE)</f>
        <v>1</v>
      </c>
      <c r="D65" s="5" t="s">
        <v>21</v>
      </c>
      <c r="E65" s="6">
        <f>VLOOKUP(D65,Select!B:H,7,FALSE)</f>
        <v>2</v>
      </c>
      <c r="F65" s="5" t="s">
        <v>23</v>
      </c>
      <c r="G65" s="6">
        <f>VLOOKUP(F65,Select!C:H,6,FALSE)</f>
        <v>1</v>
      </c>
      <c r="H65" s="24" t="s">
        <v>646</v>
      </c>
      <c r="I65" s="24">
        <v>5</v>
      </c>
      <c r="J65" s="24"/>
      <c r="K65" s="24"/>
      <c r="L65" s="24"/>
      <c r="M65" s="24" t="b">
        <v>0</v>
      </c>
      <c r="N65" s="24" t="s">
        <v>477</v>
      </c>
      <c r="O65" s="15">
        <f>VLOOKUP(N65,Select!D:H,5,FALSE)</f>
        <v>0</v>
      </c>
    </row>
    <row r="66" spans="1:15">
      <c r="A66" s="23">
        <v>101136</v>
      </c>
      <c r="B66" s="1" t="s">
        <v>24</v>
      </c>
      <c r="C66" s="6">
        <f>VLOOKUP(B66,Select!A:H,8,FALSE)</f>
        <v>1</v>
      </c>
      <c r="D66" s="1" t="s">
        <v>21</v>
      </c>
      <c r="E66" s="6">
        <f>VLOOKUP(D66,Select!B:H,7,FALSE)</f>
        <v>2</v>
      </c>
      <c r="F66" s="1" t="s">
        <v>23</v>
      </c>
      <c r="G66" s="6">
        <f>VLOOKUP(F66,Select!C:H,6,FALSE)</f>
        <v>1</v>
      </c>
      <c r="H66" s="24" t="s">
        <v>647</v>
      </c>
      <c r="I66" s="24">
        <v>5</v>
      </c>
      <c r="J66" s="24"/>
      <c r="K66" s="24"/>
      <c r="L66" s="24"/>
      <c r="M66" s="24" t="b">
        <v>0</v>
      </c>
      <c r="N66" s="24" t="s">
        <v>477</v>
      </c>
      <c r="O66" s="15">
        <f>VLOOKUP(N66,Select!D:H,5,FALSE)</f>
        <v>0</v>
      </c>
    </row>
    <row r="67" spans="1:15">
      <c r="A67" s="23">
        <v>101137</v>
      </c>
      <c r="B67" s="5" t="s">
        <v>24</v>
      </c>
      <c r="C67" s="6">
        <f>VLOOKUP(B67,Select!A:H,8,FALSE)</f>
        <v>1</v>
      </c>
      <c r="D67" s="5" t="s">
        <v>21</v>
      </c>
      <c r="E67" s="6">
        <f>VLOOKUP(D67,Select!B:H,7,FALSE)</f>
        <v>2</v>
      </c>
      <c r="F67" s="5" t="s">
        <v>23</v>
      </c>
      <c r="G67" s="6">
        <f>VLOOKUP(F67,Select!C:H,6,FALSE)</f>
        <v>1</v>
      </c>
      <c r="H67" s="24" t="s">
        <v>648</v>
      </c>
      <c r="I67" s="24">
        <v>9</v>
      </c>
      <c r="J67" s="24"/>
      <c r="K67" s="24"/>
      <c r="L67" s="24"/>
      <c r="M67" s="24" t="b">
        <v>0</v>
      </c>
      <c r="N67" s="24" t="s">
        <v>477</v>
      </c>
      <c r="O67" s="15">
        <f>VLOOKUP(N67,Select!D:H,5,FALSE)</f>
        <v>0</v>
      </c>
    </row>
    <row r="68" spans="1:15">
      <c r="A68" s="23">
        <v>101138</v>
      </c>
      <c r="B68" s="1" t="s">
        <v>24</v>
      </c>
      <c r="C68" s="6">
        <f>VLOOKUP(B68,Select!A:H,8,FALSE)</f>
        <v>1</v>
      </c>
      <c r="D68" s="1" t="s">
        <v>21</v>
      </c>
      <c r="E68" s="6">
        <f>VLOOKUP(D68,Select!B:H,7,FALSE)</f>
        <v>2</v>
      </c>
      <c r="F68" s="1" t="s">
        <v>34</v>
      </c>
      <c r="G68" s="6">
        <f>VLOOKUP(F68,Select!C:H,6,FALSE)</f>
        <v>2</v>
      </c>
      <c r="H68" s="24" t="s">
        <v>649</v>
      </c>
      <c r="I68" s="24">
        <v>5</v>
      </c>
      <c r="J68" s="24"/>
      <c r="K68" s="24"/>
      <c r="L68" s="24"/>
      <c r="M68" s="24" t="b">
        <v>0</v>
      </c>
      <c r="N68" s="24" t="s">
        <v>477</v>
      </c>
      <c r="O68" s="15">
        <f>VLOOKUP(N68,Select!D:H,5,FALSE)</f>
        <v>0</v>
      </c>
    </row>
    <row r="69" spans="1:15">
      <c r="A69" s="23">
        <v>101139</v>
      </c>
      <c r="B69" s="5" t="s">
        <v>24</v>
      </c>
      <c r="C69" s="6">
        <f>VLOOKUP(B69,Select!A:H,8,FALSE)</f>
        <v>1</v>
      </c>
      <c r="D69" s="5" t="s">
        <v>30</v>
      </c>
      <c r="E69" s="6">
        <f>VLOOKUP(D69,Select!B:H,7,FALSE)</f>
        <v>3</v>
      </c>
      <c r="F69" s="5" t="s">
        <v>3</v>
      </c>
      <c r="G69" s="6">
        <f>VLOOKUP(F69,Select!C:H,6,FALSE)</f>
        <v>0</v>
      </c>
      <c r="H69" s="24" t="s">
        <v>650</v>
      </c>
      <c r="I69" s="24">
        <v>3</v>
      </c>
      <c r="J69" s="24">
        <v>2</v>
      </c>
      <c r="K69" s="24">
        <v>3</v>
      </c>
      <c r="L69" s="24"/>
      <c r="M69" s="24" t="b">
        <v>0</v>
      </c>
      <c r="N69" s="24" t="s">
        <v>477</v>
      </c>
      <c r="O69" s="15">
        <f>VLOOKUP(N69,Select!D:H,5,FALSE)</f>
        <v>0</v>
      </c>
    </row>
    <row r="70" spans="1:15">
      <c r="A70" s="23">
        <v>101140</v>
      </c>
      <c r="B70" s="1" t="s">
        <v>24</v>
      </c>
      <c r="C70" s="6">
        <f>VLOOKUP(B70,Select!A:H,8,FALSE)</f>
        <v>1</v>
      </c>
      <c r="D70" s="1" t="s">
        <v>30</v>
      </c>
      <c r="E70" s="6">
        <f>VLOOKUP(D70,Select!B:H,7,FALSE)</f>
        <v>3</v>
      </c>
      <c r="F70" s="1" t="s">
        <v>3</v>
      </c>
      <c r="G70" s="6">
        <f>VLOOKUP(F70,Select!C:H,6,FALSE)</f>
        <v>0</v>
      </c>
      <c r="H70" s="24" t="s">
        <v>651</v>
      </c>
      <c r="I70" s="24">
        <v>6</v>
      </c>
      <c r="J70" s="24">
        <v>4</v>
      </c>
      <c r="K70" s="24">
        <v>4</v>
      </c>
      <c r="L70" s="24"/>
      <c r="M70" s="24" t="b">
        <v>0</v>
      </c>
      <c r="N70" s="24" t="s">
        <v>477</v>
      </c>
      <c r="O70" s="15">
        <f>VLOOKUP(N70,Select!D:H,5,FALSE)</f>
        <v>0</v>
      </c>
    </row>
    <row r="71" spans="1:15">
      <c r="A71" s="23">
        <v>101141</v>
      </c>
      <c r="B71" s="5" t="s">
        <v>24</v>
      </c>
      <c r="C71" s="6">
        <f>VLOOKUP(B71,Select!A:H,8,FALSE)</f>
        <v>1</v>
      </c>
      <c r="D71" s="5" t="s">
        <v>30</v>
      </c>
      <c r="E71" s="6">
        <f>VLOOKUP(D71,Select!B:H,7,FALSE)</f>
        <v>3</v>
      </c>
      <c r="F71" s="5" t="s">
        <v>3</v>
      </c>
      <c r="G71" s="6">
        <f>VLOOKUP(F71,Select!C:H,6,FALSE)</f>
        <v>0</v>
      </c>
      <c r="H71" s="24" t="s">
        <v>652</v>
      </c>
      <c r="I71" s="24">
        <v>8</v>
      </c>
      <c r="J71" s="24">
        <v>5</v>
      </c>
      <c r="K71" s="24">
        <v>5</v>
      </c>
      <c r="L71" s="24"/>
      <c r="M71" s="24" t="b">
        <v>0</v>
      </c>
      <c r="N71" s="24" t="s">
        <v>477</v>
      </c>
      <c r="O71" s="15">
        <f>VLOOKUP(N71,Select!D:H,5,FALSE)</f>
        <v>0</v>
      </c>
    </row>
    <row r="72" spans="1:15">
      <c r="A72" s="23">
        <v>101142</v>
      </c>
      <c r="B72" s="1" t="s">
        <v>24</v>
      </c>
      <c r="C72" s="6">
        <f>VLOOKUP(B72,Select!A:H,8,FALSE)</f>
        <v>1</v>
      </c>
      <c r="D72" s="1" t="s">
        <v>30</v>
      </c>
      <c r="E72" s="6">
        <f>VLOOKUP(D72,Select!B:H,7,FALSE)</f>
        <v>3</v>
      </c>
      <c r="F72" s="1" t="s">
        <v>23</v>
      </c>
      <c r="G72" s="6">
        <f>VLOOKUP(F72,Select!C:H,6,FALSE)</f>
        <v>1</v>
      </c>
      <c r="H72" s="24" t="s">
        <v>653</v>
      </c>
      <c r="I72" s="24">
        <v>2</v>
      </c>
      <c r="J72" s="24"/>
      <c r="K72" s="24"/>
      <c r="L72" s="24"/>
      <c r="M72" s="24" t="b">
        <v>1</v>
      </c>
      <c r="N72" s="24" t="s">
        <v>477</v>
      </c>
      <c r="O72" s="15">
        <f>VLOOKUP(N72,Select!D:H,5,FALSE)</f>
        <v>0</v>
      </c>
    </row>
    <row r="73" spans="1:15">
      <c r="A73" s="23">
        <v>101200</v>
      </c>
      <c r="B73" s="5" t="s">
        <v>25</v>
      </c>
      <c r="C73" s="6">
        <f>VLOOKUP(B73,Select!A:H,8,FALSE)</f>
        <v>2</v>
      </c>
      <c r="D73" s="5" t="s">
        <v>10</v>
      </c>
      <c r="E73" s="6">
        <f>VLOOKUP(D73,Select!B:H,7,FALSE)</f>
        <v>0</v>
      </c>
      <c r="F73" s="5" t="s">
        <v>3</v>
      </c>
      <c r="G73" s="6">
        <f>VLOOKUP(F73,Select!C:H,6,FALSE)</f>
        <v>0</v>
      </c>
      <c r="H73" s="24" t="s">
        <v>654</v>
      </c>
      <c r="I73" s="24">
        <v>1</v>
      </c>
      <c r="J73" s="24">
        <v>1</v>
      </c>
      <c r="K73" s="24">
        <v>1</v>
      </c>
      <c r="L73" s="24"/>
      <c r="M73" s="24" t="b">
        <v>0</v>
      </c>
      <c r="N73" s="24" t="s">
        <v>460</v>
      </c>
      <c r="O73" s="15">
        <f>VLOOKUP(N73,Select!D:H,5,FALSE)</f>
        <v>1</v>
      </c>
    </row>
    <row r="74" spans="1:15">
      <c r="A74" s="23">
        <v>101201</v>
      </c>
      <c r="B74" s="1" t="s">
        <v>25</v>
      </c>
      <c r="C74" s="6">
        <f>VLOOKUP(B74,Select!A:H,8,FALSE)</f>
        <v>2</v>
      </c>
      <c r="D74" s="1" t="s">
        <v>10</v>
      </c>
      <c r="E74" s="6">
        <f>VLOOKUP(D74,Select!B:H,7,FALSE)</f>
        <v>0</v>
      </c>
      <c r="F74" s="1" t="s">
        <v>3</v>
      </c>
      <c r="G74" s="6">
        <f>VLOOKUP(F74,Select!C:H,6,FALSE)</f>
        <v>0</v>
      </c>
      <c r="H74" s="24" t="s">
        <v>655</v>
      </c>
      <c r="I74" s="24">
        <v>1</v>
      </c>
      <c r="J74" s="24">
        <v>1</v>
      </c>
      <c r="K74" s="24">
        <v>2</v>
      </c>
      <c r="L74" s="24"/>
      <c r="M74" s="24" t="b">
        <v>0</v>
      </c>
      <c r="N74" s="24" t="s">
        <v>460</v>
      </c>
      <c r="O74" s="15">
        <f>VLOOKUP(N74,Select!D:H,5,FALSE)</f>
        <v>1</v>
      </c>
    </row>
    <row r="75" spans="1:15">
      <c r="A75" s="23">
        <v>101202</v>
      </c>
      <c r="B75" s="5" t="s">
        <v>25</v>
      </c>
      <c r="C75" s="6">
        <f>VLOOKUP(B75,Select!A:H,8,FALSE)</f>
        <v>2</v>
      </c>
      <c r="D75" s="5" t="s">
        <v>10</v>
      </c>
      <c r="E75" s="6">
        <f>VLOOKUP(D75,Select!B:H,7,FALSE)</f>
        <v>0</v>
      </c>
      <c r="F75" s="5" t="s">
        <v>3</v>
      </c>
      <c r="G75" s="6">
        <f>VLOOKUP(F75,Select!C:H,6,FALSE)</f>
        <v>0</v>
      </c>
      <c r="H75" s="24" t="s">
        <v>666</v>
      </c>
      <c r="I75" s="24">
        <v>2</v>
      </c>
      <c r="J75" s="24">
        <v>2</v>
      </c>
      <c r="K75" s="24">
        <v>2</v>
      </c>
      <c r="L75" s="24"/>
      <c r="M75" s="24" t="b">
        <v>0</v>
      </c>
      <c r="N75" s="24" t="s">
        <v>460</v>
      </c>
      <c r="O75" s="15">
        <f>VLOOKUP(N75,Select!D:H,5,FALSE)</f>
        <v>1</v>
      </c>
    </row>
    <row r="76" spans="1:15">
      <c r="A76" s="23">
        <v>101203</v>
      </c>
      <c r="B76" s="1" t="s">
        <v>25</v>
      </c>
      <c r="C76" s="6">
        <f>VLOOKUP(B76,Select!A:H,8,FALSE)</f>
        <v>2</v>
      </c>
      <c r="D76" s="1" t="s">
        <v>10</v>
      </c>
      <c r="E76" s="6">
        <f>VLOOKUP(D76,Select!B:H,7,FALSE)</f>
        <v>0</v>
      </c>
      <c r="F76" s="1" t="s">
        <v>3</v>
      </c>
      <c r="G76" s="6">
        <f>VLOOKUP(F76,Select!C:H,6,FALSE)</f>
        <v>0</v>
      </c>
      <c r="H76" s="24" t="s">
        <v>667</v>
      </c>
      <c r="I76" s="24">
        <v>2</v>
      </c>
      <c r="J76" s="24">
        <v>2</v>
      </c>
      <c r="K76" s="24">
        <v>1</v>
      </c>
      <c r="L76" s="24"/>
      <c r="M76" s="24" t="b">
        <v>0</v>
      </c>
      <c r="N76" s="24" t="s">
        <v>656</v>
      </c>
      <c r="O76" s="15">
        <f>VLOOKUP(N76,Select!D:H,5,FALSE)</f>
        <v>16</v>
      </c>
    </row>
    <row r="77" spans="1:15">
      <c r="A77" s="23">
        <v>101204</v>
      </c>
      <c r="B77" s="5" t="s">
        <v>25</v>
      </c>
      <c r="C77" s="6">
        <f>VLOOKUP(B77,Select!A:H,8,FALSE)</f>
        <v>2</v>
      </c>
      <c r="D77" s="5" t="s">
        <v>10</v>
      </c>
      <c r="E77" s="6">
        <f>VLOOKUP(D77,Select!B:H,7,FALSE)</f>
        <v>0</v>
      </c>
      <c r="F77" s="5" t="s">
        <v>3</v>
      </c>
      <c r="G77" s="6">
        <f>VLOOKUP(F77,Select!C:H,6,FALSE)</f>
        <v>0</v>
      </c>
      <c r="H77" s="24" t="s">
        <v>668</v>
      </c>
      <c r="I77" s="24">
        <v>2</v>
      </c>
      <c r="J77" s="24">
        <v>3</v>
      </c>
      <c r="K77" s="24">
        <v>1</v>
      </c>
      <c r="L77" s="24"/>
      <c r="M77" s="24" t="b">
        <v>0</v>
      </c>
      <c r="N77" s="24" t="s">
        <v>460</v>
      </c>
      <c r="O77" s="15">
        <f>VLOOKUP(N77,Select!D:H,5,FALSE)</f>
        <v>1</v>
      </c>
    </row>
    <row r="78" spans="1:15">
      <c r="A78" s="23">
        <v>101205</v>
      </c>
      <c r="B78" s="1" t="s">
        <v>25</v>
      </c>
      <c r="C78" s="6">
        <f>VLOOKUP(B78,Select!A:H,8,FALSE)</f>
        <v>2</v>
      </c>
      <c r="D78" s="1" t="s">
        <v>10</v>
      </c>
      <c r="E78" s="6">
        <f>VLOOKUP(D78,Select!B:H,7,FALSE)</f>
        <v>0</v>
      </c>
      <c r="F78" s="1" t="s">
        <v>3</v>
      </c>
      <c r="G78" s="6">
        <f>VLOOKUP(F78,Select!C:H,6,FALSE)</f>
        <v>0</v>
      </c>
      <c r="H78" s="24" t="s">
        <v>669</v>
      </c>
      <c r="I78" s="24">
        <v>2</v>
      </c>
      <c r="J78" s="24">
        <v>2</v>
      </c>
      <c r="K78" s="24">
        <v>1</v>
      </c>
      <c r="L78" s="24"/>
      <c r="M78" s="24" t="b">
        <v>0</v>
      </c>
      <c r="N78" s="24" t="s">
        <v>460</v>
      </c>
      <c r="O78" s="15">
        <f>VLOOKUP(N78,Select!D:H,5,FALSE)</f>
        <v>1</v>
      </c>
    </row>
    <row r="79" spans="1:15">
      <c r="A79" s="23">
        <v>101206</v>
      </c>
      <c r="B79" s="5" t="s">
        <v>25</v>
      </c>
      <c r="C79" s="6">
        <f>VLOOKUP(B79,Select!A:H,8,FALSE)</f>
        <v>2</v>
      </c>
      <c r="D79" s="5" t="s">
        <v>10</v>
      </c>
      <c r="E79" s="6">
        <f>VLOOKUP(D79,Select!B:H,7,FALSE)</f>
        <v>0</v>
      </c>
      <c r="F79" s="5" t="s">
        <v>3</v>
      </c>
      <c r="G79" s="6">
        <f>VLOOKUP(F79,Select!C:H,6,FALSE)</f>
        <v>0</v>
      </c>
      <c r="H79" s="24" t="s">
        <v>670</v>
      </c>
      <c r="I79" s="24">
        <v>2</v>
      </c>
      <c r="J79" s="24">
        <v>2</v>
      </c>
      <c r="K79" s="24">
        <v>2</v>
      </c>
      <c r="L79" s="24"/>
      <c r="M79" s="24" t="b">
        <v>0</v>
      </c>
      <c r="N79" s="24" t="s">
        <v>460</v>
      </c>
      <c r="O79" s="15">
        <f>VLOOKUP(N79,Select!D:H,5,FALSE)</f>
        <v>1</v>
      </c>
    </row>
    <row r="80" spans="1:15">
      <c r="A80" s="23">
        <v>101207</v>
      </c>
      <c r="B80" s="1" t="s">
        <v>25</v>
      </c>
      <c r="C80" s="6">
        <f>VLOOKUP(B80,Select!A:H,8,FALSE)</f>
        <v>2</v>
      </c>
      <c r="D80" s="1" t="s">
        <v>10</v>
      </c>
      <c r="E80" s="6">
        <f>VLOOKUP(D80,Select!B:H,7,FALSE)</f>
        <v>0</v>
      </c>
      <c r="F80" s="1" t="s">
        <v>3</v>
      </c>
      <c r="G80" s="6">
        <f>VLOOKUP(F80,Select!C:H,6,FALSE)</f>
        <v>0</v>
      </c>
      <c r="H80" s="24" t="s">
        <v>671</v>
      </c>
      <c r="I80" s="24">
        <v>3</v>
      </c>
      <c r="J80" s="24">
        <v>2</v>
      </c>
      <c r="K80" s="24">
        <v>2</v>
      </c>
      <c r="L80" s="24"/>
      <c r="M80" s="24" t="b">
        <v>0</v>
      </c>
      <c r="N80" s="24" t="s">
        <v>656</v>
      </c>
      <c r="O80" s="15">
        <f>VLOOKUP(N80,Select!D:H,5,FALSE)</f>
        <v>16</v>
      </c>
    </row>
    <row r="81" spans="1:15">
      <c r="A81" s="23">
        <v>101208</v>
      </c>
      <c r="B81" s="5" t="s">
        <v>25</v>
      </c>
      <c r="C81" s="6">
        <f>VLOOKUP(B81,Select!A:H,8,FALSE)</f>
        <v>2</v>
      </c>
      <c r="D81" s="5" t="s">
        <v>10</v>
      </c>
      <c r="E81" s="6">
        <f>VLOOKUP(D81,Select!B:H,7,FALSE)</f>
        <v>0</v>
      </c>
      <c r="F81" s="5" t="s">
        <v>3</v>
      </c>
      <c r="G81" s="6">
        <f>VLOOKUP(F81,Select!C:H,6,FALSE)</f>
        <v>0</v>
      </c>
      <c r="H81" s="24" t="s">
        <v>672</v>
      </c>
      <c r="I81" s="24">
        <v>3</v>
      </c>
      <c r="J81" s="24">
        <v>2</v>
      </c>
      <c r="K81" s="24">
        <v>2</v>
      </c>
      <c r="L81" s="24"/>
      <c r="M81" s="24" t="b">
        <v>0</v>
      </c>
      <c r="N81" s="24" t="s">
        <v>460</v>
      </c>
      <c r="O81" s="15">
        <f>VLOOKUP(N81,Select!D:H,5,FALSE)</f>
        <v>1</v>
      </c>
    </row>
    <row r="82" spans="1:15">
      <c r="A82" s="23">
        <v>101209</v>
      </c>
      <c r="B82" s="1" t="s">
        <v>25</v>
      </c>
      <c r="C82" s="6">
        <f>VLOOKUP(B82,Select!A:H,8,FALSE)</f>
        <v>2</v>
      </c>
      <c r="D82" s="1" t="s">
        <v>10</v>
      </c>
      <c r="E82" s="6">
        <f>VLOOKUP(D82,Select!B:H,7,FALSE)</f>
        <v>0</v>
      </c>
      <c r="F82" s="1" t="s">
        <v>3</v>
      </c>
      <c r="G82" s="6">
        <f>VLOOKUP(F82,Select!C:H,6,FALSE)</f>
        <v>0</v>
      </c>
      <c r="H82" s="24" t="s">
        <v>673</v>
      </c>
      <c r="I82" s="24">
        <v>3</v>
      </c>
      <c r="J82" s="24">
        <v>3</v>
      </c>
      <c r="K82" s="24">
        <v>2</v>
      </c>
      <c r="L82" s="24"/>
      <c r="M82" s="24" t="b">
        <v>0</v>
      </c>
      <c r="N82" s="24" t="s">
        <v>460</v>
      </c>
      <c r="O82" s="15">
        <f>VLOOKUP(N82,Select!D:H,5,FALSE)</f>
        <v>1</v>
      </c>
    </row>
    <row r="83" spans="1:15">
      <c r="A83" s="23">
        <v>101210</v>
      </c>
      <c r="B83" s="5" t="s">
        <v>25</v>
      </c>
      <c r="C83" s="6">
        <f>VLOOKUP(B83,Select!A:H,8,FALSE)</f>
        <v>2</v>
      </c>
      <c r="D83" s="5" t="s">
        <v>10</v>
      </c>
      <c r="E83" s="6">
        <f>VLOOKUP(D83,Select!B:H,7,FALSE)</f>
        <v>0</v>
      </c>
      <c r="F83" s="5" t="s">
        <v>3</v>
      </c>
      <c r="G83" s="6">
        <f>VLOOKUP(F83,Select!C:H,6,FALSE)</f>
        <v>0</v>
      </c>
      <c r="H83" s="24" t="s">
        <v>675</v>
      </c>
      <c r="I83" s="24">
        <v>4</v>
      </c>
      <c r="J83" s="24">
        <v>2</v>
      </c>
      <c r="K83" s="24">
        <v>2</v>
      </c>
      <c r="L83" s="24"/>
      <c r="M83" s="24" t="b">
        <v>0</v>
      </c>
      <c r="N83" s="24" t="s">
        <v>460</v>
      </c>
      <c r="O83" s="15">
        <f>VLOOKUP(N83,Select!D:H,5,FALSE)</f>
        <v>1</v>
      </c>
    </row>
    <row r="84" spans="1:15">
      <c r="A84" s="23">
        <v>101211</v>
      </c>
      <c r="B84" s="1" t="s">
        <v>25</v>
      </c>
      <c r="C84" s="6">
        <f>VLOOKUP(B84,Select!A:H,8,FALSE)</f>
        <v>2</v>
      </c>
      <c r="D84" s="1" t="s">
        <v>10</v>
      </c>
      <c r="E84" s="6">
        <f>VLOOKUP(D84,Select!B:H,7,FALSE)</f>
        <v>0</v>
      </c>
      <c r="F84" s="1" t="s">
        <v>3</v>
      </c>
      <c r="G84" s="6">
        <f>VLOOKUP(F84,Select!C:H,6,FALSE)</f>
        <v>0</v>
      </c>
      <c r="H84" s="24" t="s">
        <v>676</v>
      </c>
      <c r="I84" s="24">
        <v>5</v>
      </c>
      <c r="J84" s="24">
        <v>4</v>
      </c>
      <c r="K84" s="24">
        <v>5</v>
      </c>
      <c r="L84" s="24"/>
      <c r="M84" s="24" t="b">
        <v>0</v>
      </c>
      <c r="N84" s="24" t="s">
        <v>460</v>
      </c>
      <c r="O84" s="15">
        <f>VLOOKUP(N84,Select!D:H,5,FALSE)</f>
        <v>1</v>
      </c>
    </row>
    <row r="85" spans="1:15">
      <c r="A85" s="23">
        <v>101212</v>
      </c>
      <c r="B85" s="5" t="s">
        <v>25</v>
      </c>
      <c r="C85" s="6">
        <f>VLOOKUP(B85,Select!A:H,8,FALSE)</f>
        <v>2</v>
      </c>
      <c r="D85" s="5" t="s">
        <v>10</v>
      </c>
      <c r="E85" s="6">
        <f>VLOOKUP(D85,Select!B:H,7,FALSE)</f>
        <v>0</v>
      </c>
      <c r="F85" s="5" t="s">
        <v>3</v>
      </c>
      <c r="G85" s="6">
        <f>VLOOKUP(F85,Select!C:H,6,FALSE)</f>
        <v>0</v>
      </c>
      <c r="H85" s="24" t="s">
        <v>677</v>
      </c>
      <c r="I85" s="24">
        <v>6</v>
      </c>
      <c r="J85" s="24">
        <v>5</v>
      </c>
      <c r="K85" s="24">
        <v>5</v>
      </c>
      <c r="L85" s="24"/>
      <c r="M85" s="24" t="b">
        <v>0</v>
      </c>
      <c r="N85" s="24" t="s">
        <v>460</v>
      </c>
      <c r="O85" s="15">
        <f>VLOOKUP(N85,Select!D:H,5,FALSE)</f>
        <v>1</v>
      </c>
    </row>
    <row r="86" spans="1:15">
      <c r="A86" s="23">
        <v>101213</v>
      </c>
      <c r="B86" s="1" t="s">
        <v>25</v>
      </c>
      <c r="C86" s="6">
        <f>VLOOKUP(B86,Select!A:H,8,FALSE)</f>
        <v>2</v>
      </c>
      <c r="D86" s="1" t="s">
        <v>10</v>
      </c>
      <c r="E86" s="6">
        <f>VLOOKUP(D86,Select!B:H,7,FALSE)</f>
        <v>0</v>
      </c>
      <c r="F86" s="1" t="s">
        <v>3</v>
      </c>
      <c r="G86" s="6">
        <f>VLOOKUP(F86,Select!C:H,6,FALSE)</f>
        <v>0</v>
      </c>
      <c r="H86" s="24" t="s">
        <v>678</v>
      </c>
      <c r="I86" s="24">
        <v>6</v>
      </c>
      <c r="J86" s="24">
        <v>4</v>
      </c>
      <c r="K86" s="24">
        <v>4</v>
      </c>
      <c r="L86" s="24"/>
      <c r="M86" s="24" t="b">
        <v>0</v>
      </c>
      <c r="N86" s="24" t="s">
        <v>656</v>
      </c>
      <c r="O86" s="15">
        <f>VLOOKUP(N86,Select!D:H,5,FALSE)</f>
        <v>16</v>
      </c>
    </row>
    <row r="87" spans="1:15">
      <c r="A87" s="23">
        <v>101214</v>
      </c>
      <c r="B87" s="5" t="s">
        <v>25</v>
      </c>
      <c r="C87" s="6">
        <f>VLOOKUP(B87,Select!A:H,8,FALSE)</f>
        <v>2</v>
      </c>
      <c r="D87" s="5" t="s">
        <v>10</v>
      </c>
      <c r="E87" s="6">
        <f>VLOOKUP(D87,Select!B:H,7,FALSE)</f>
        <v>0</v>
      </c>
      <c r="F87" s="5" t="s">
        <v>23</v>
      </c>
      <c r="G87" s="6">
        <f>VLOOKUP(F87,Select!C:H,6,FALSE)</f>
        <v>1</v>
      </c>
      <c r="H87" s="24" t="s">
        <v>679</v>
      </c>
      <c r="I87" s="24">
        <v>3</v>
      </c>
      <c r="J87" s="24"/>
      <c r="K87" s="24"/>
      <c r="L87" s="24"/>
      <c r="M87" s="24" t="b">
        <v>0</v>
      </c>
      <c r="N87" s="24" t="s">
        <v>477</v>
      </c>
      <c r="O87" s="15">
        <f>VLOOKUP(N87,Select!D:H,5,FALSE)</f>
        <v>0</v>
      </c>
    </row>
    <row r="88" spans="1:15">
      <c r="A88" s="23">
        <v>101215</v>
      </c>
      <c r="B88" s="1" t="s">
        <v>25</v>
      </c>
      <c r="C88" s="6">
        <f>VLOOKUP(B88,Select!A:H,8,FALSE)</f>
        <v>2</v>
      </c>
      <c r="D88" s="1" t="s">
        <v>10</v>
      </c>
      <c r="E88" s="6">
        <f>VLOOKUP(D88,Select!B:H,7,FALSE)</f>
        <v>0</v>
      </c>
      <c r="F88" s="1" t="s">
        <v>23</v>
      </c>
      <c r="G88" s="6">
        <f>VLOOKUP(F88,Select!C:H,6,FALSE)</f>
        <v>1</v>
      </c>
      <c r="H88" s="24" t="s">
        <v>680</v>
      </c>
      <c r="I88" s="24">
        <v>4</v>
      </c>
      <c r="J88" s="24"/>
      <c r="K88" s="24"/>
      <c r="L88" s="24"/>
      <c r="M88" s="24" t="b">
        <v>0</v>
      </c>
      <c r="N88" s="24" t="s">
        <v>477</v>
      </c>
      <c r="O88" s="15">
        <f>VLOOKUP(N88,Select!D:H,5,FALSE)</f>
        <v>0</v>
      </c>
    </row>
    <row r="89" spans="1:15">
      <c r="A89" s="23">
        <v>101216</v>
      </c>
      <c r="B89" s="5" t="s">
        <v>25</v>
      </c>
      <c r="C89" s="6">
        <f>VLOOKUP(B89,Select!A:H,8,FALSE)</f>
        <v>2</v>
      </c>
      <c r="D89" s="5" t="s">
        <v>10</v>
      </c>
      <c r="E89" s="6">
        <f>VLOOKUP(D89,Select!B:H,7,FALSE)</f>
        <v>0</v>
      </c>
      <c r="F89" s="5" t="s">
        <v>23</v>
      </c>
      <c r="G89" s="6">
        <f>VLOOKUP(F89,Select!C:H,6,FALSE)</f>
        <v>1</v>
      </c>
      <c r="H89" s="24" t="s">
        <v>681</v>
      </c>
      <c r="I89" s="24">
        <v>5</v>
      </c>
      <c r="J89" s="24"/>
      <c r="K89" s="24"/>
      <c r="L89" s="24"/>
      <c r="M89" s="24" t="b">
        <v>0</v>
      </c>
      <c r="N89" s="24" t="s">
        <v>477</v>
      </c>
      <c r="O89" s="15">
        <f>VLOOKUP(N89,Select!D:H,5,FALSE)</f>
        <v>0</v>
      </c>
    </row>
    <row r="90" spans="1:15">
      <c r="A90" s="23">
        <v>101217</v>
      </c>
      <c r="B90" s="1" t="s">
        <v>25</v>
      </c>
      <c r="C90" s="6">
        <f>VLOOKUP(B90,Select!A:H,8,FALSE)</f>
        <v>2</v>
      </c>
      <c r="D90" s="1" t="s">
        <v>36</v>
      </c>
      <c r="E90" s="6">
        <f>VLOOKUP(D90,Select!B:H,7,FALSE)</f>
        <v>1</v>
      </c>
      <c r="F90" s="1" t="s">
        <v>3</v>
      </c>
      <c r="G90" s="6">
        <f>VLOOKUP(F90,Select!C:H,6,FALSE)</f>
        <v>0</v>
      </c>
      <c r="H90" s="24" t="s">
        <v>682</v>
      </c>
      <c r="I90" s="24">
        <v>2</v>
      </c>
      <c r="J90" s="24">
        <v>1</v>
      </c>
      <c r="K90" s="24">
        <v>1</v>
      </c>
      <c r="L90" s="24"/>
      <c r="M90" s="24" t="b">
        <v>0</v>
      </c>
      <c r="N90" s="24" t="s">
        <v>460</v>
      </c>
      <c r="O90" s="15">
        <f>VLOOKUP(N90,Select!D:H,5,FALSE)</f>
        <v>1</v>
      </c>
    </row>
    <row r="91" spans="1:15">
      <c r="A91" s="23">
        <v>101218</v>
      </c>
      <c r="B91" s="5" t="s">
        <v>25</v>
      </c>
      <c r="C91" s="6">
        <f>VLOOKUP(B91,Select!A:H,8,FALSE)</f>
        <v>2</v>
      </c>
      <c r="D91" s="5" t="s">
        <v>36</v>
      </c>
      <c r="E91" s="6">
        <f>VLOOKUP(D91,Select!B:H,7,FALSE)</f>
        <v>1</v>
      </c>
      <c r="F91" s="5" t="s">
        <v>3</v>
      </c>
      <c r="G91" s="6">
        <f>VLOOKUP(F91,Select!C:H,6,FALSE)</f>
        <v>0</v>
      </c>
      <c r="H91" s="24" t="s">
        <v>683</v>
      </c>
      <c r="I91" s="24">
        <v>2</v>
      </c>
      <c r="J91" s="24">
        <v>2</v>
      </c>
      <c r="K91" s="24">
        <v>1</v>
      </c>
      <c r="L91" s="24"/>
      <c r="M91" s="24" t="b">
        <v>0</v>
      </c>
      <c r="N91" s="24" t="s">
        <v>460</v>
      </c>
      <c r="O91" s="15">
        <f>VLOOKUP(N91,Select!D:H,5,FALSE)</f>
        <v>1</v>
      </c>
    </row>
    <row r="92" spans="1:15">
      <c r="A92" s="23">
        <v>101219</v>
      </c>
      <c r="B92" s="1" t="s">
        <v>25</v>
      </c>
      <c r="C92" s="6">
        <f>VLOOKUP(B92,Select!A:H,8,FALSE)</f>
        <v>2</v>
      </c>
      <c r="D92" s="1" t="s">
        <v>36</v>
      </c>
      <c r="E92" s="6">
        <f>VLOOKUP(D92,Select!B:H,7,FALSE)</f>
        <v>1</v>
      </c>
      <c r="F92" s="1" t="s">
        <v>3</v>
      </c>
      <c r="G92" s="6">
        <f>VLOOKUP(F92,Select!C:H,6,FALSE)</f>
        <v>0</v>
      </c>
      <c r="H92" s="24" t="s">
        <v>684</v>
      </c>
      <c r="I92" s="24">
        <v>2</v>
      </c>
      <c r="J92" s="24">
        <v>2</v>
      </c>
      <c r="K92" s="24">
        <v>1</v>
      </c>
      <c r="L92" s="24"/>
      <c r="M92" s="24" t="b">
        <v>0</v>
      </c>
      <c r="N92" s="24" t="s">
        <v>460</v>
      </c>
      <c r="O92" s="15">
        <f>VLOOKUP(N92,Select!D:H,5,FALSE)</f>
        <v>1</v>
      </c>
    </row>
    <row r="93" spans="1:15">
      <c r="A93" s="23">
        <v>101220</v>
      </c>
      <c r="B93" s="5" t="s">
        <v>25</v>
      </c>
      <c r="C93" s="6">
        <f>VLOOKUP(B93,Select!A:H,8,FALSE)</f>
        <v>2</v>
      </c>
      <c r="D93" s="5" t="s">
        <v>36</v>
      </c>
      <c r="E93" s="6">
        <f>VLOOKUP(D93,Select!B:H,7,FALSE)</f>
        <v>1</v>
      </c>
      <c r="F93" s="5" t="s">
        <v>3</v>
      </c>
      <c r="G93" s="6">
        <f>VLOOKUP(F93,Select!C:H,6,FALSE)</f>
        <v>0</v>
      </c>
      <c r="H93" s="24" t="s">
        <v>685</v>
      </c>
      <c r="I93" s="24">
        <v>2</v>
      </c>
      <c r="J93" s="24">
        <v>1</v>
      </c>
      <c r="K93" s="24">
        <v>3</v>
      </c>
      <c r="L93" s="24"/>
      <c r="M93" s="24" t="b">
        <v>0</v>
      </c>
      <c r="N93" s="24" t="s">
        <v>656</v>
      </c>
      <c r="O93" s="15">
        <f>VLOOKUP(N93,Select!D:H,5,FALSE)</f>
        <v>16</v>
      </c>
    </row>
    <row r="94" spans="1:15">
      <c r="A94" s="23">
        <v>101221</v>
      </c>
      <c r="B94" s="1" t="s">
        <v>25</v>
      </c>
      <c r="C94" s="6">
        <f>VLOOKUP(B94,Select!A:H,8,FALSE)</f>
        <v>2</v>
      </c>
      <c r="D94" s="1" t="s">
        <v>36</v>
      </c>
      <c r="E94" s="6">
        <f>VLOOKUP(D94,Select!B:H,7,FALSE)</f>
        <v>1</v>
      </c>
      <c r="F94" s="1" t="s">
        <v>3</v>
      </c>
      <c r="G94" s="6">
        <f>VLOOKUP(F94,Select!C:H,6,FALSE)</f>
        <v>0</v>
      </c>
      <c r="H94" s="24" t="s">
        <v>686</v>
      </c>
      <c r="I94" s="24">
        <v>3</v>
      </c>
      <c r="J94" s="24">
        <v>2</v>
      </c>
      <c r="K94" s="24">
        <v>3</v>
      </c>
      <c r="L94" s="24"/>
      <c r="M94" s="24" t="b">
        <v>0</v>
      </c>
      <c r="N94" s="24" t="s">
        <v>656</v>
      </c>
      <c r="O94" s="15">
        <f>VLOOKUP(N94,Select!D:H,5,FALSE)</f>
        <v>16</v>
      </c>
    </row>
    <row r="95" spans="1:15">
      <c r="A95" s="23">
        <v>101222</v>
      </c>
      <c r="B95" s="5" t="s">
        <v>25</v>
      </c>
      <c r="C95" s="6">
        <f>VLOOKUP(B95,Select!A:H,8,FALSE)</f>
        <v>2</v>
      </c>
      <c r="D95" s="5" t="s">
        <v>36</v>
      </c>
      <c r="E95" s="6">
        <f>VLOOKUP(D95,Select!B:H,7,FALSE)</f>
        <v>1</v>
      </c>
      <c r="F95" s="5" t="s">
        <v>3</v>
      </c>
      <c r="G95" s="6">
        <f>VLOOKUP(F95,Select!C:H,6,FALSE)</f>
        <v>0</v>
      </c>
      <c r="H95" s="24" t="s">
        <v>687</v>
      </c>
      <c r="I95" s="24">
        <v>3</v>
      </c>
      <c r="J95" s="24">
        <v>2</v>
      </c>
      <c r="K95" s="24">
        <v>1</v>
      </c>
      <c r="L95" s="24"/>
      <c r="M95" s="24" t="b">
        <v>0</v>
      </c>
      <c r="N95" s="24" t="s">
        <v>656</v>
      </c>
      <c r="O95" s="15">
        <f>VLOOKUP(N95,Select!D:H,5,FALSE)</f>
        <v>16</v>
      </c>
    </row>
    <row r="96" spans="1:15">
      <c r="A96" s="23">
        <v>101223</v>
      </c>
      <c r="B96" s="1" t="s">
        <v>25</v>
      </c>
      <c r="C96" s="6">
        <f>VLOOKUP(B96,Select!A:H,8,FALSE)</f>
        <v>2</v>
      </c>
      <c r="D96" s="1" t="s">
        <v>36</v>
      </c>
      <c r="E96" s="6">
        <f>VLOOKUP(D96,Select!B:H,7,FALSE)</f>
        <v>1</v>
      </c>
      <c r="F96" s="1" t="s">
        <v>3</v>
      </c>
      <c r="G96" s="6">
        <f>VLOOKUP(F96,Select!C:H,6,FALSE)</f>
        <v>0</v>
      </c>
      <c r="H96" s="24" t="s">
        <v>688</v>
      </c>
      <c r="I96" s="24">
        <v>4</v>
      </c>
      <c r="J96" s="24">
        <v>3</v>
      </c>
      <c r="K96" s="24">
        <v>3</v>
      </c>
      <c r="L96" s="24"/>
      <c r="M96" s="24" t="b">
        <v>0</v>
      </c>
      <c r="N96" s="24" t="s">
        <v>656</v>
      </c>
      <c r="O96" s="15">
        <f>VLOOKUP(N96,Select!D:H,5,FALSE)</f>
        <v>16</v>
      </c>
    </row>
    <row r="97" spans="1:15">
      <c r="A97" s="23">
        <v>101224</v>
      </c>
      <c r="B97" s="5" t="s">
        <v>25</v>
      </c>
      <c r="C97" s="6">
        <f>VLOOKUP(B97,Select!A:H,8,FALSE)</f>
        <v>2</v>
      </c>
      <c r="D97" s="5" t="s">
        <v>36</v>
      </c>
      <c r="E97" s="6">
        <f>VLOOKUP(D97,Select!B:H,7,FALSE)</f>
        <v>1</v>
      </c>
      <c r="F97" s="5" t="s">
        <v>3</v>
      </c>
      <c r="G97" s="6">
        <f>VLOOKUP(F97,Select!C:H,6,FALSE)</f>
        <v>0</v>
      </c>
      <c r="H97" s="24" t="s">
        <v>689</v>
      </c>
      <c r="I97" s="24">
        <v>4</v>
      </c>
      <c r="J97" s="24">
        <v>4</v>
      </c>
      <c r="K97" s="24">
        <v>3</v>
      </c>
      <c r="L97" s="24"/>
      <c r="M97" s="24" t="b">
        <v>0</v>
      </c>
      <c r="N97" s="24" t="s">
        <v>460</v>
      </c>
      <c r="O97" s="15">
        <f>VLOOKUP(N97,Select!D:H,5,FALSE)</f>
        <v>1</v>
      </c>
    </row>
    <row r="98" spans="1:15">
      <c r="A98" s="23">
        <v>101225</v>
      </c>
      <c r="B98" s="1" t="s">
        <v>25</v>
      </c>
      <c r="C98" s="6">
        <f>VLOOKUP(B98,Select!A:H,8,FALSE)</f>
        <v>2</v>
      </c>
      <c r="D98" s="1" t="s">
        <v>36</v>
      </c>
      <c r="E98" s="6">
        <f>VLOOKUP(D98,Select!B:H,7,FALSE)</f>
        <v>1</v>
      </c>
      <c r="F98" s="1" t="s">
        <v>3</v>
      </c>
      <c r="G98" s="6">
        <f>VLOOKUP(F98,Select!C:H,6,FALSE)</f>
        <v>0</v>
      </c>
      <c r="H98" s="24" t="s">
        <v>690</v>
      </c>
      <c r="I98" s="24">
        <v>5</v>
      </c>
      <c r="J98" s="24">
        <v>4</v>
      </c>
      <c r="K98" s="24">
        <v>3</v>
      </c>
      <c r="L98" s="24"/>
      <c r="M98" s="24" t="b">
        <v>0</v>
      </c>
      <c r="N98" s="24" t="s">
        <v>656</v>
      </c>
      <c r="O98" s="15">
        <f>VLOOKUP(N98,Select!D:H,5,FALSE)</f>
        <v>16</v>
      </c>
    </row>
    <row r="99" spans="1:15">
      <c r="A99" s="23">
        <v>101226</v>
      </c>
      <c r="B99" s="5" t="s">
        <v>25</v>
      </c>
      <c r="C99" s="6">
        <f>VLOOKUP(B99,Select!A:H,8,FALSE)</f>
        <v>2</v>
      </c>
      <c r="D99" s="5" t="s">
        <v>36</v>
      </c>
      <c r="E99" s="6">
        <f>VLOOKUP(D99,Select!B:H,7,FALSE)</f>
        <v>1</v>
      </c>
      <c r="F99" s="5" t="s">
        <v>3</v>
      </c>
      <c r="G99" s="6">
        <f>VLOOKUP(F99,Select!C:H,6,FALSE)</f>
        <v>0</v>
      </c>
      <c r="H99" s="24" t="s">
        <v>691</v>
      </c>
      <c r="I99" s="24">
        <v>5</v>
      </c>
      <c r="J99" s="24">
        <v>3</v>
      </c>
      <c r="K99" s="24">
        <v>3</v>
      </c>
      <c r="L99" s="24"/>
      <c r="M99" s="24" t="b">
        <v>0</v>
      </c>
      <c r="N99" s="24" t="s">
        <v>656</v>
      </c>
      <c r="O99" s="15">
        <f>VLOOKUP(N99,Select!D:H,5,FALSE)</f>
        <v>16</v>
      </c>
    </row>
    <row r="100" spans="1:15">
      <c r="A100" s="23">
        <v>101227</v>
      </c>
      <c r="B100" s="1" t="s">
        <v>25</v>
      </c>
      <c r="C100" s="6">
        <f>VLOOKUP(B100,Select!A:H,8,FALSE)</f>
        <v>2</v>
      </c>
      <c r="D100" s="1" t="s">
        <v>36</v>
      </c>
      <c r="E100" s="6">
        <f>VLOOKUP(D100,Select!B:H,7,FALSE)</f>
        <v>1</v>
      </c>
      <c r="F100" s="1" t="s">
        <v>3</v>
      </c>
      <c r="G100" s="6">
        <f>VLOOKUP(F100,Select!C:H,6,FALSE)</f>
        <v>0</v>
      </c>
      <c r="H100" s="24" t="s">
        <v>692</v>
      </c>
      <c r="I100" s="24">
        <v>8</v>
      </c>
      <c r="J100" s="24">
        <v>6</v>
      </c>
      <c r="K100" s="24">
        <v>6</v>
      </c>
      <c r="L100" s="24"/>
      <c r="M100" s="24" t="b">
        <v>0</v>
      </c>
      <c r="N100" s="24" t="s">
        <v>656</v>
      </c>
      <c r="O100" s="15">
        <f>VLOOKUP(N100,Select!D:H,5,FALSE)</f>
        <v>16</v>
      </c>
    </row>
    <row r="101" spans="1:15">
      <c r="A101" s="23">
        <v>101228</v>
      </c>
      <c r="B101" s="5" t="s">
        <v>25</v>
      </c>
      <c r="C101" s="6">
        <f>VLOOKUP(B101,Select!A:H,8,FALSE)</f>
        <v>2</v>
      </c>
      <c r="D101" s="5" t="s">
        <v>36</v>
      </c>
      <c r="E101" s="6">
        <f>VLOOKUP(D101,Select!B:H,7,FALSE)</f>
        <v>1</v>
      </c>
      <c r="F101" s="5" t="s">
        <v>23</v>
      </c>
      <c r="G101" s="6">
        <f>VLOOKUP(F101,Select!C:H,6,FALSE)</f>
        <v>1</v>
      </c>
      <c r="H101" s="24" t="s">
        <v>693</v>
      </c>
      <c r="I101" s="24">
        <v>2</v>
      </c>
      <c r="J101" s="24"/>
      <c r="K101" s="24"/>
      <c r="L101" s="24"/>
      <c r="M101" s="24" t="b">
        <v>0</v>
      </c>
      <c r="N101" s="24" t="s">
        <v>477</v>
      </c>
      <c r="O101" s="15">
        <f>VLOOKUP(N101,Select!D:H,5,FALSE)</f>
        <v>0</v>
      </c>
    </row>
    <row r="102" spans="1:15">
      <c r="A102" s="23">
        <v>101229</v>
      </c>
      <c r="B102" s="1" t="s">
        <v>25</v>
      </c>
      <c r="C102" s="6">
        <f>VLOOKUP(B102,Select!A:H,8,FALSE)</f>
        <v>2</v>
      </c>
      <c r="D102" s="1" t="s">
        <v>36</v>
      </c>
      <c r="E102" s="6">
        <f>VLOOKUP(D102,Select!B:H,7,FALSE)</f>
        <v>1</v>
      </c>
      <c r="F102" s="1" t="s">
        <v>34</v>
      </c>
      <c r="G102" s="6">
        <f>VLOOKUP(F102,Select!C:H,6,FALSE)</f>
        <v>2</v>
      </c>
      <c r="H102" s="24" t="s">
        <v>694</v>
      </c>
      <c r="I102" s="24">
        <v>2</v>
      </c>
      <c r="J102" s="24"/>
      <c r="K102" s="24"/>
      <c r="L102" s="24"/>
      <c r="M102" s="24" t="b">
        <v>0</v>
      </c>
      <c r="N102" s="24" t="s">
        <v>477</v>
      </c>
      <c r="O102" s="15">
        <f>VLOOKUP(N102,Select!D:H,5,FALSE)</f>
        <v>0</v>
      </c>
    </row>
    <row r="103" spans="1:15">
      <c r="A103" s="23">
        <v>101230</v>
      </c>
      <c r="B103" s="5" t="s">
        <v>25</v>
      </c>
      <c r="C103" s="6">
        <f>VLOOKUP(B103,Select!A:H,8,FALSE)</f>
        <v>2</v>
      </c>
      <c r="D103" s="5" t="s">
        <v>21</v>
      </c>
      <c r="E103" s="6">
        <f>VLOOKUP(D103,Select!B:H,7,FALSE)</f>
        <v>2</v>
      </c>
      <c r="F103" s="5" t="s">
        <v>3</v>
      </c>
      <c r="G103" s="6">
        <f>VLOOKUP(F103,Select!C:H,6,FALSE)</f>
        <v>0</v>
      </c>
      <c r="H103" s="24" t="s">
        <v>695</v>
      </c>
      <c r="I103" s="24">
        <v>3</v>
      </c>
      <c r="J103" s="24">
        <v>3</v>
      </c>
      <c r="K103" s="24">
        <v>2</v>
      </c>
      <c r="L103" s="24"/>
      <c r="M103" s="24" t="b">
        <v>0</v>
      </c>
      <c r="N103" s="24" t="s">
        <v>656</v>
      </c>
      <c r="O103" s="15">
        <f>VLOOKUP(N103,Select!D:H,5,FALSE)</f>
        <v>16</v>
      </c>
    </row>
    <row r="104" spans="1:15">
      <c r="A104" s="23">
        <v>101231</v>
      </c>
      <c r="B104" s="1" t="s">
        <v>25</v>
      </c>
      <c r="C104" s="6">
        <f>VLOOKUP(B104,Select!A:H,8,FALSE)</f>
        <v>2</v>
      </c>
      <c r="D104" s="1" t="s">
        <v>21</v>
      </c>
      <c r="E104" s="6">
        <f>VLOOKUP(D104,Select!B:H,7,FALSE)</f>
        <v>2</v>
      </c>
      <c r="F104" s="1" t="s">
        <v>3</v>
      </c>
      <c r="G104" s="6">
        <f>VLOOKUP(F104,Select!C:H,6,FALSE)</f>
        <v>0</v>
      </c>
      <c r="H104" s="24" t="s">
        <v>696</v>
      </c>
      <c r="I104" s="24">
        <v>4</v>
      </c>
      <c r="J104" s="24">
        <v>3</v>
      </c>
      <c r="K104" s="24">
        <v>3</v>
      </c>
      <c r="L104" s="24"/>
      <c r="M104" s="24" t="b">
        <v>0</v>
      </c>
      <c r="N104" s="24" t="s">
        <v>460</v>
      </c>
      <c r="O104" s="15">
        <f>VLOOKUP(N104,Select!D:H,5,FALSE)</f>
        <v>1</v>
      </c>
    </row>
    <row r="105" spans="1:15">
      <c r="A105" s="23">
        <v>101232</v>
      </c>
      <c r="B105" s="5" t="s">
        <v>25</v>
      </c>
      <c r="C105" s="6">
        <f>VLOOKUP(B105,Select!A:H,8,FALSE)</f>
        <v>2</v>
      </c>
      <c r="D105" s="5" t="s">
        <v>21</v>
      </c>
      <c r="E105" s="6">
        <f>VLOOKUP(D105,Select!B:H,7,FALSE)</f>
        <v>2</v>
      </c>
      <c r="F105" s="5" t="s">
        <v>3</v>
      </c>
      <c r="G105" s="6">
        <f>VLOOKUP(F105,Select!C:H,6,FALSE)</f>
        <v>0</v>
      </c>
      <c r="H105" s="24" t="s">
        <v>697</v>
      </c>
      <c r="I105" s="24">
        <v>4</v>
      </c>
      <c r="J105" s="24">
        <v>4</v>
      </c>
      <c r="K105" s="24">
        <v>3</v>
      </c>
      <c r="L105" s="24"/>
      <c r="M105" s="24" t="b">
        <v>0</v>
      </c>
      <c r="N105" s="24" t="s">
        <v>656</v>
      </c>
      <c r="O105" s="15">
        <f>VLOOKUP(N105,Select!D:H,5,FALSE)</f>
        <v>16</v>
      </c>
    </row>
    <row r="106" spans="1:15">
      <c r="A106" s="23">
        <v>101233</v>
      </c>
      <c r="B106" s="1" t="s">
        <v>25</v>
      </c>
      <c r="C106" s="6">
        <f>VLOOKUP(B106,Select!A:H,8,FALSE)</f>
        <v>2</v>
      </c>
      <c r="D106" s="1" t="s">
        <v>21</v>
      </c>
      <c r="E106" s="6">
        <f>VLOOKUP(D106,Select!B:H,7,FALSE)</f>
        <v>2</v>
      </c>
      <c r="F106" s="1" t="s">
        <v>3</v>
      </c>
      <c r="G106" s="6">
        <f>VLOOKUP(F106,Select!C:H,6,FALSE)</f>
        <v>0</v>
      </c>
      <c r="H106" s="24" t="s">
        <v>698</v>
      </c>
      <c r="I106" s="24">
        <v>7</v>
      </c>
      <c r="J106" s="24">
        <v>5</v>
      </c>
      <c r="K106" s="24">
        <v>6</v>
      </c>
      <c r="L106" s="24"/>
      <c r="M106" s="24" t="b">
        <v>0</v>
      </c>
      <c r="N106" s="24" t="s">
        <v>656</v>
      </c>
      <c r="O106" s="15">
        <f>VLOOKUP(N106,Select!D:H,5,FALSE)</f>
        <v>16</v>
      </c>
    </row>
    <row r="107" spans="1:15">
      <c r="A107" s="23">
        <v>101234</v>
      </c>
      <c r="B107" s="5" t="s">
        <v>25</v>
      </c>
      <c r="C107" s="6">
        <f>VLOOKUP(B107,Select!A:H,8,FALSE)</f>
        <v>2</v>
      </c>
      <c r="D107" s="5" t="s">
        <v>21</v>
      </c>
      <c r="E107" s="6">
        <f>VLOOKUP(D107,Select!B:H,7,FALSE)</f>
        <v>2</v>
      </c>
      <c r="F107" s="5" t="s">
        <v>3</v>
      </c>
      <c r="G107" s="6">
        <f>VLOOKUP(F107,Select!C:H,6,FALSE)</f>
        <v>0</v>
      </c>
      <c r="H107" s="24" t="s">
        <v>699</v>
      </c>
      <c r="I107" s="24">
        <v>8</v>
      </c>
      <c r="J107" s="24">
        <v>4</v>
      </c>
      <c r="K107" s="24">
        <v>7</v>
      </c>
      <c r="L107" s="24"/>
      <c r="M107" s="24" t="b">
        <v>0</v>
      </c>
      <c r="N107" s="24" t="s">
        <v>656</v>
      </c>
      <c r="O107" s="15">
        <f>VLOOKUP(N107,Select!D:H,5,FALSE)</f>
        <v>16</v>
      </c>
    </row>
    <row r="108" spans="1:15">
      <c r="A108" s="23">
        <v>101235</v>
      </c>
      <c r="B108" s="1" t="s">
        <v>25</v>
      </c>
      <c r="C108" s="6">
        <f>VLOOKUP(B108,Select!A:H,8,FALSE)</f>
        <v>2</v>
      </c>
      <c r="D108" s="1" t="s">
        <v>21</v>
      </c>
      <c r="E108" s="6">
        <f>VLOOKUP(D108,Select!B:H,7,FALSE)</f>
        <v>2</v>
      </c>
      <c r="F108" s="1" t="s">
        <v>23</v>
      </c>
      <c r="G108" s="6">
        <f>VLOOKUP(F108,Select!C:H,6,FALSE)</f>
        <v>1</v>
      </c>
      <c r="H108" s="24" t="s">
        <v>700</v>
      </c>
      <c r="I108" s="24">
        <v>4</v>
      </c>
      <c r="J108" s="24"/>
      <c r="K108" s="24"/>
      <c r="L108" s="24"/>
      <c r="M108" s="24" t="b">
        <v>0</v>
      </c>
      <c r="N108" s="24" t="s">
        <v>477</v>
      </c>
      <c r="O108" s="15">
        <f>VLOOKUP(N108,Select!D:H,5,FALSE)</f>
        <v>0</v>
      </c>
    </row>
    <row r="109" spans="1:15">
      <c r="A109" s="23">
        <v>101236</v>
      </c>
      <c r="B109" s="5" t="s">
        <v>25</v>
      </c>
      <c r="C109" s="6">
        <f>VLOOKUP(B109,Select!A:H,8,FALSE)</f>
        <v>2</v>
      </c>
      <c r="D109" s="5" t="s">
        <v>21</v>
      </c>
      <c r="E109" s="6">
        <f>VLOOKUP(D109,Select!B:H,7,FALSE)</f>
        <v>2</v>
      </c>
      <c r="F109" s="5" t="s">
        <v>23</v>
      </c>
      <c r="G109" s="6">
        <f>VLOOKUP(F109,Select!C:H,6,FALSE)</f>
        <v>1</v>
      </c>
      <c r="H109" s="24" t="s">
        <v>701</v>
      </c>
      <c r="I109" s="24">
        <v>6</v>
      </c>
      <c r="J109" s="24"/>
      <c r="K109" s="24"/>
      <c r="L109" s="24"/>
      <c r="M109" s="24" t="b">
        <v>0</v>
      </c>
      <c r="N109" s="24" t="s">
        <v>477</v>
      </c>
      <c r="O109" s="15">
        <f>VLOOKUP(N109,Select!D:H,5,FALSE)</f>
        <v>0</v>
      </c>
    </row>
    <row r="110" spans="1:15">
      <c r="A110" s="23">
        <v>101237</v>
      </c>
      <c r="B110" s="1" t="s">
        <v>25</v>
      </c>
      <c r="C110" s="6">
        <f>VLOOKUP(B110,Select!A:H,8,FALSE)</f>
        <v>2</v>
      </c>
      <c r="D110" s="1" t="s">
        <v>21</v>
      </c>
      <c r="E110" s="6">
        <f>VLOOKUP(D110,Select!B:H,7,FALSE)</f>
        <v>2</v>
      </c>
      <c r="F110" s="1" t="s">
        <v>34</v>
      </c>
      <c r="G110" s="6">
        <f>VLOOKUP(F110,Select!C:H,6,FALSE)</f>
        <v>2</v>
      </c>
      <c r="H110" s="24" t="s">
        <v>702</v>
      </c>
      <c r="I110" s="24">
        <v>1</v>
      </c>
      <c r="J110" s="24"/>
      <c r="K110" s="24"/>
      <c r="L110" s="24"/>
      <c r="M110" s="24" t="b">
        <v>0</v>
      </c>
      <c r="N110" s="24" t="s">
        <v>477</v>
      </c>
      <c r="O110" s="15">
        <f>VLOOKUP(N110,Select!D:H,5,FALSE)</f>
        <v>0</v>
      </c>
    </row>
    <row r="111" spans="1:15">
      <c r="A111" s="23">
        <v>101238</v>
      </c>
      <c r="B111" s="5" t="s">
        <v>25</v>
      </c>
      <c r="C111" s="6">
        <f>VLOOKUP(B111,Select!A:H,8,FALSE)</f>
        <v>2</v>
      </c>
      <c r="D111" s="5" t="s">
        <v>21</v>
      </c>
      <c r="E111" s="6">
        <f>VLOOKUP(D111,Select!B:H,7,FALSE)</f>
        <v>2</v>
      </c>
      <c r="F111" s="5" t="s">
        <v>34</v>
      </c>
      <c r="G111" s="6">
        <f>VLOOKUP(F111,Select!C:H,6,FALSE)</f>
        <v>2</v>
      </c>
      <c r="H111" s="24" t="s">
        <v>703</v>
      </c>
      <c r="I111" s="24">
        <v>5</v>
      </c>
      <c r="J111" s="24"/>
      <c r="K111" s="24"/>
      <c r="L111" s="24"/>
      <c r="M111" s="24" t="b">
        <v>0</v>
      </c>
      <c r="N111" s="24" t="s">
        <v>477</v>
      </c>
      <c r="O111" s="15">
        <f>VLOOKUP(N111,Select!D:H,5,FALSE)</f>
        <v>0</v>
      </c>
    </row>
    <row r="112" spans="1:15">
      <c r="A112" s="23">
        <v>101239</v>
      </c>
      <c r="B112" s="1" t="s">
        <v>25</v>
      </c>
      <c r="C112" s="6">
        <f>VLOOKUP(B112,Select!A:H,8,FALSE)</f>
        <v>2</v>
      </c>
      <c r="D112" s="1" t="s">
        <v>30</v>
      </c>
      <c r="E112" s="6">
        <f>VLOOKUP(D112,Select!B:H,7,FALSE)</f>
        <v>3</v>
      </c>
      <c r="F112" s="1" t="s">
        <v>3</v>
      </c>
      <c r="G112" s="6">
        <f>VLOOKUP(F112,Select!C:H,6,FALSE)</f>
        <v>0</v>
      </c>
      <c r="H112" s="24" t="s">
        <v>704</v>
      </c>
      <c r="I112" s="24">
        <v>5</v>
      </c>
      <c r="J112" s="24">
        <v>2</v>
      </c>
      <c r="K112" s="24">
        <v>6</v>
      </c>
      <c r="L112" s="24"/>
      <c r="M112" s="24" t="b">
        <v>0</v>
      </c>
      <c r="N112" s="24" t="s">
        <v>656</v>
      </c>
      <c r="O112" s="15">
        <f>VLOOKUP(N112,Select!D:H,5,FALSE)</f>
        <v>16</v>
      </c>
    </row>
    <row r="113" spans="1:15">
      <c r="A113" s="23">
        <v>101240</v>
      </c>
      <c r="B113" s="5" t="s">
        <v>25</v>
      </c>
      <c r="C113" s="6">
        <f>VLOOKUP(B113,Select!A:H,8,FALSE)</f>
        <v>2</v>
      </c>
      <c r="D113" s="5" t="s">
        <v>30</v>
      </c>
      <c r="E113" s="6">
        <f>VLOOKUP(D113,Select!B:H,7,FALSE)</f>
        <v>3</v>
      </c>
      <c r="F113" s="5" t="s">
        <v>3</v>
      </c>
      <c r="G113" s="6">
        <f>VLOOKUP(F113,Select!C:H,6,FALSE)</f>
        <v>0</v>
      </c>
      <c r="H113" s="24" t="s">
        <v>705</v>
      </c>
      <c r="I113" s="24">
        <v>6</v>
      </c>
      <c r="J113" s="24">
        <v>3</v>
      </c>
      <c r="K113" s="24">
        <v>4</v>
      </c>
      <c r="L113" s="24"/>
      <c r="M113" s="24" t="b">
        <v>0</v>
      </c>
      <c r="N113" s="24" t="s">
        <v>656</v>
      </c>
      <c r="O113" s="15">
        <f>VLOOKUP(N113,Select!D:H,5,FALSE)</f>
        <v>16</v>
      </c>
    </row>
    <row r="114" spans="1:15">
      <c r="A114" s="23">
        <v>101241</v>
      </c>
      <c r="B114" s="1" t="s">
        <v>25</v>
      </c>
      <c r="C114" s="6">
        <f>VLOOKUP(B114,Select!A:H,8,FALSE)</f>
        <v>2</v>
      </c>
      <c r="D114" s="1" t="s">
        <v>30</v>
      </c>
      <c r="E114" s="6">
        <f>VLOOKUP(D114,Select!B:H,7,FALSE)</f>
        <v>3</v>
      </c>
      <c r="F114" s="1" t="s">
        <v>3</v>
      </c>
      <c r="G114" s="6">
        <f>VLOOKUP(F114,Select!C:H,6,FALSE)</f>
        <v>0</v>
      </c>
      <c r="H114" s="24" t="s">
        <v>706</v>
      </c>
      <c r="I114" s="24">
        <v>6</v>
      </c>
      <c r="J114" s="24">
        <v>4</v>
      </c>
      <c r="K114" s="24">
        <v>3</v>
      </c>
      <c r="L114" s="24"/>
      <c r="M114" s="24" t="b">
        <v>0</v>
      </c>
      <c r="N114" s="24" t="s">
        <v>460</v>
      </c>
      <c r="O114" s="15">
        <f>VLOOKUP(N114,Select!D:H,5,FALSE)</f>
        <v>1</v>
      </c>
    </row>
    <row r="115" spans="1:15">
      <c r="A115" s="23">
        <v>101242</v>
      </c>
      <c r="B115" s="5" t="s">
        <v>25</v>
      </c>
      <c r="C115" s="6">
        <f>VLOOKUP(B115,Select!A:H,8,FALSE)</f>
        <v>2</v>
      </c>
      <c r="D115" s="5" t="s">
        <v>10</v>
      </c>
      <c r="E115" s="6">
        <f>VLOOKUP(D115,Select!B:H,7,FALSE)</f>
        <v>0</v>
      </c>
      <c r="F115" s="5" t="s">
        <v>3</v>
      </c>
      <c r="G115" s="6">
        <f>VLOOKUP(F115,Select!C:H,6,FALSE)</f>
        <v>0</v>
      </c>
      <c r="H115" s="24" t="s">
        <v>674</v>
      </c>
      <c r="I115" s="24">
        <v>3</v>
      </c>
      <c r="J115" s="24">
        <v>2</v>
      </c>
      <c r="K115" s="24">
        <v>3</v>
      </c>
      <c r="L115" s="24"/>
      <c r="M115" s="24" t="b">
        <v>1</v>
      </c>
      <c r="N115" s="24" t="s">
        <v>460</v>
      </c>
      <c r="O115" s="15">
        <f>VLOOKUP(N115,Select!D:H,5,FALSE)</f>
        <v>1</v>
      </c>
    </row>
    <row r="116" spans="1:15">
      <c r="A116" s="23">
        <v>101243</v>
      </c>
      <c r="B116" s="1" t="s">
        <v>25</v>
      </c>
      <c r="C116" s="6">
        <f>VLOOKUP(B116,Select!A:H,8,FALSE)</f>
        <v>2</v>
      </c>
      <c r="D116" s="1" t="s">
        <v>10</v>
      </c>
      <c r="E116" s="6">
        <f>VLOOKUP(D116,Select!B:H,7,FALSE)</f>
        <v>0</v>
      </c>
      <c r="F116" s="1" t="s">
        <v>3</v>
      </c>
      <c r="G116" s="6">
        <f>VLOOKUP(F116,Select!C:H,6,FALSE)</f>
        <v>0</v>
      </c>
      <c r="H116" s="24" t="s">
        <v>707</v>
      </c>
      <c r="I116" s="24">
        <v>3</v>
      </c>
      <c r="J116" s="24">
        <v>3</v>
      </c>
      <c r="K116" s="24">
        <v>2</v>
      </c>
      <c r="L116" s="24"/>
      <c r="M116" s="24" t="b">
        <v>1</v>
      </c>
      <c r="N116" s="24" t="s">
        <v>460</v>
      </c>
      <c r="O116" s="15">
        <f>VLOOKUP(N116,Select!D:H,5,FALSE)</f>
        <v>1</v>
      </c>
    </row>
    <row r="117" spans="1:15">
      <c r="A117" s="23">
        <v>101244</v>
      </c>
      <c r="B117" s="5" t="s">
        <v>25</v>
      </c>
      <c r="C117" s="6">
        <f>VLOOKUP(B117,Select!A:H,8,FALSE)</f>
        <v>2</v>
      </c>
      <c r="D117" s="5" t="s">
        <v>10</v>
      </c>
      <c r="E117" s="6">
        <f>VLOOKUP(D117,Select!B:H,7,FALSE)</f>
        <v>0</v>
      </c>
      <c r="F117" s="5" t="s">
        <v>3</v>
      </c>
      <c r="G117" s="6">
        <f>VLOOKUP(F117,Select!C:H,6,FALSE)</f>
        <v>0</v>
      </c>
      <c r="H117" s="24" t="s">
        <v>708</v>
      </c>
      <c r="I117" s="24">
        <v>3</v>
      </c>
      <c r="J117" s="24">
        <v>2</v>
      </c>
      <c r="K117" s="24">
        <v>3</v>
      </c>
      <c r="L117" s="24"/>
      <c r="M117" s="24" t="b">
        <v>1</v>
      </c>
      <c r="N117" s="24" t="s">
        <v>460</v>
      </c>
      <c r="O117" s="15">
        <f>VLOOKUP(N117,Select!D:H,5,FALSE)</f>
        <v>1</v>
      </c>
    </row>
    <row r="118" spans="1:15">
      <c r="A118" s="23">
        <v>101245</v>
      </c>
      <c r="B118" s="1" t="s">
        <v>25</v>
      </c>
      <c r="C118" s="6">
        <f>VLOOKUP(B118,Select!A:H,8,FALSE)</f>
        <v>2</v>
      </c>
      <c r="D118" s="1" t="s">
        <v>30</v>
      </c>
      <c r="E118" s="6">
        <f>VLOOKUP(D118,Select!B:H,7,FALSE)</f>
        <v>3</v>
      </c>
      <c r="F118" s="1" t="s">
        <v>3</v>
      </c>
      <c r="G118" s="6">
        <f>VLOOKUP(F118,Select!C:H,6,FALSE)</f>
        <v>0</v>
      </c>
      <c r="H118" s="24" t="s">
        <v>250</v>
      </c>
      <c r="I118" s="24">
        <v>1</v>
      </c>
      <c r="J118" s="24">
        <v>1</v>
      </c>
      <c r="K118" s="24">
        <v>2</v>
      </c>
      <c r="L118" s="24"/>
      <c r="M118" s="24" t="b">
        <v>1</v>
      </c>
      <c r="N118" s="24" t="s">
        <v>460</v>
      </c>
      <c r="O118" s="15">
        <f>VLOOKUP(N118,Select!D:H,5,FALSE)</f>
        <v>1</v>
      </c>
    </row>
    <row r="119" spans="1:15">
      <c r="A119" s="23">
        <v>101300</v>
      </c>
      <c r="B119" s="5" t="s">
        <v>22</v>
      </c>
      <c r="C119" s="6">
        <f>VLOOKUP(B119,Select!A:H,8,FALSE)</f>
        <v>3</v>
      </c>
      <c r="D119" s="5" t="s">
        <v>10</v>
      </c>
      <c r="E119" s="6">
        <f>VLOOKUP(D119,Select!B:H,7,FALSE)</f>
        <v>0</v>
      </c>
      <c r="F119" s="5" t="s">
        <v>3</v>
      </c>
      <c r="G119" s="6">
        <f>VLOOKUP(F119,Select!C:H,6,FALSE)</f>
        <v>0</v>
      </c>
      <c r="H119" s="24" t="s">
        <v>709</v>
      </c>
      <c r="I119" s="24">
        <v>2</v>
      </c>
      <c r="J119" s="24">
        <v>2</v>
      </c>
      <c r="K119" s="24">
        <v>2</v>
      </c>
      <c r="L119" s="24"/>
      <c r="M119" s="24" t="b">
        <v>0</v>
      </c>
      <c r="N119" s="24" t="s">
        <v>477</v>
      </c>
      <c r="O119" s="15">
        <f>VLOOKUP(N119,Select!D:H,5,FALSE)</f>
        <v>0</v>
      </c>
    </row>
    <row r="120" spans="1:15">
      <c r="A120" s="23">
        <v>101301</v>
      </c>
      <c r="B120" s="1" t="s">
        <v>22</v>
      </c>
      <c r="C120" s="6">
        <f>VLOOKUP(B120,Select!A:H,8,FALSE)</f>
        <v>3</v>
      </c>
      <c r="D120" s="1" t="s">
        <v>10</v>
      </c>
      <c r="E120" s="6">
        <f>VLOOKUP(D120,Select!B:H,7,FALSE)</f>
        <v>0</v>
      </c>
      <c r="F120" s="1" t="s">
        <v>3</v>
      </c>
      <c r="G120" s="6">
        <f>VLOOKUP(F120,Select!C:H,6,FALSE)</f>
        <v>0</v>
      </c>
      <c r="H120" s="24" t="s">
        <v>710</v>
      </c>
      <c r="I120" s="24">
        <v>2</v>
      </c>
      <c r="J120" s="24">
        <v>2</v>
      </c>
      <c r="K120" s="24">
        <v>1</v>
      </c>
      <c r="L120" s="24"/>
      <c r="M120" s="24" t="b">
        <v>0</v>
      </c>
      <c r="N120" s="24" t="s">
        <v>477</v>
      </c>
      <c r="O120" s="15">
        <f>VLOOKUP(N120,Select!D:H,5,FALSE)</f>
        <v>0</v>
      </c>
    </row>
    <row r="121" spans="1:15">
      <c r="A121" s="23">
        <v>101302</v>
      </c>
      <c r="B121" s="5" t="s">
        <v>22</v>
      </c>
      <c r="C121" s="6">
        <f>VLOOKUP(B121,Select!A:H,8,FALSE)</f>
        <v>3</v>
      </c>
      <c r="D121" s="5" t="s">
        <v>10</v>
      </c>
      <c r="E121" s="6">
        <f>VLOOKUP(D121,Select!B:H,7,FALSE)</f>
        <v>0</v>
      </c>
      <c r="F121" s="5" t="s">
        <v>3</v>
      </c>
      <c r="G121" s="6">
        <f>VLOOKUP(F121,Select!C:H,6,FALSE)</f>
        <v>0</v>
      </c>
      <c r="H121" s="24" t="s">
        <v>711</v>
      </c>
      <c r="I121" s="24">
        <v>2</v>
      </c>
      <c r="J121" s="24">
        <v>2</v>
      </c>
      <c r="K121" s="24">
        <v>2</v>
      </c>
      <c r="L121" s="24"/>
      <c r="M121" s="24" t="b">
        <v>0</v>
      </c>
      <c r="N121" s="24" t="s">
        <v>477</v>
      </c>
      <c r="O121" s="15">
        <f>VLOOKUP(N121,Select!D:H,5,FALSE)</f>
        <v>0</v>
      </c>
    </row>
    <row r="122" spans="1:15">
      <c r="A122" s="23">
        <v>101303</v>
      </c>
      <c r="B122" s="1" t="s">
        <v>22</v>
      </c>
      <c r="C122" s="6">
        <f>VLOOKUP(B122,Select!A:H,8,FALSE)</f>
        <v>3</v>
      </c>
      <c r="D122" s="1" t="s">
        <v>10</v>
      </c>
      <c r="E122" s="6">
        <f>VLOOKUP(D122,Select!B:H,7,FALSE)</f>
        <v>0</v>
      </c>
      <c r="F122" s="1" t="s">
        <v>3</v>
      </c>
      <c r="G122" s="6">
        <f>VLOOKUP(F122,Select!C:H,6,FALSE)</f>
        <v>0</v>
      </c>
      <c r="H122" s="24" t="s">
        <v>712</v>
      </c>
      <c r="I122" s="24">
        <v>3</v>
      </c>
      <c r="J122" s="24">
        <v>2</v>
      </c>
      <c r="K122" s="24">
        <v>3</v>
      </c>
      <c r="L122" s="24"/>
      <c r="M122" s="24" t="b">
        <v>0</v>
      </c>
      <c r="N122" s="24" t="s">
        <v>477</v>
      </c>
      <c r="O122" s="15">
        <f>VLOOKUP(N122,Select!D:H,5,FALSE)</f>
        <v>0</v>
      </c>
    </row>
    <row r="123" spans="1:15">
      <c r="A123" s="23">
        <v>101304</v>
      </c>
      <c r="B123" s="5" t="s">
        <v>22</v>
      </c>
      <c r="C123" s="6">
        <f>VLOOKUP(B123,Select!A:H,8,FALSE)</f>
        <v>3</v>
      </c>
      <c r="D123" s="5" t="s">
        <v>10</v>
      </c>
      <c r="E123" s="6">
        <f>VLOOKUP(D123,Select!B:H,7,FALSE)</f>
        <v>0</v>
      </c>
      <c r="F123" s="5" t="s">
        <v>3</v>
      </c>
      <c r="G123" s="6">
        <f>VLOOKUP(F123,Select!C:H,6,FALSE)</f>
        <v>0</v>
      </c>
      <c r="H123" s="24" t="s">
        <v>713</v>
      </c>
      <c r="I123" s="24">
        <v>3</v>
      </c>
      <c r="J123" s="24">
        <v>2</v>
      </c>
      <c r="K123" s="24">
        <v>3</v>
      </c>
      <c r="L123" s="24"/>
      <c r="M123" s="24" t="b">
        <v>0</v>
      </c>
      <c r="N123" s="24" t="s">
        <v>477</v>
      </c>
      <c r="O123" s="15">
        <f>VLOOKUP(N123,Select!D:H,5,FALSE)</f>
        <v>0</v>
      </c>
    </row>
    <row r="124" spans="1:15">
      <c r="A124" s="23">
        <v>101305</v>
      </c>
      <c r="B124" s="1" t="s">
        <v>22</v>
      </c>
      <c r="C124" s="6">
        <f>VLOOKUP(B124,Select!A:H,8,FALSE)</f>
        <v>3</v>
      </c>
      <c r="D124" s="1" t="s">
        <v>10</v>
      </c>
      <c r="E124" s="6">
        <f>VLOOKUP(D124,Select!B:H,7,FALSE)</f>
        <v>0</v>
      </c>
      <c r="F124" s="1" t="s">
        <v>3</v>
      </c>
      <c r="G124" s="6">
        <f>VLOOKUP(F124,Select!C:H,6,FALSE)</f>
        <v>0</v>
      </c>
      <c r="H124" s="24" t="s">
        <v>714</v>
      </c>
      <c r="I124" s="24">
        <v>4</v>
      </c>
      <c r="J124" s="24">
        <v>4</v>
      </c>
      <c r="K124" s="24">
        <v>3</v>
      </c>
      <c r="L124" s="24"/>
      <c r="M124" s="24" t="b">
        <v>0</v>
      </c>
      <c r="N124" s="24" t="s">
        <v>477</v>
      </c>
      <c r="O124" s="15">
        <f>VLOOKUP(N124,Select!D:H,5,FALSE)</f>
        <v>0</v>
      </c>
    </row>
    <row r="125" spans="1:15">
      <c r="A125" s="23">
        <v>101306</v>
      </c>
      <c r="B125" s="5" t="s">
        <v>22</v>
      </c>
      <c r="C125" s="6">
        <f>VLOOKUP(B125,Select!A:H,8,FALSE)</f>
        <v>3</v>
      </c>
      <c r="D125" s="5" t="s">
        <v>10</v>
      </c>
      <c r="E125" s="6">
        <f>VLOOKUP(D125,Select!B:H,7,FALSE)</f>
        <v>0</v>
      </c>
      <c r="F125" s="5" t="s">
        <v>3</v>
      </c>
      <c r="G125" s="6">
        <f>VLOOKUP(F125,Select!C:H,6,FALSE)</f>
        <v>0</v>
      </c>
      <c r="H125" s="24" t="s">
        <v>715</v>
      </c>
      <c r="I125" s="24">
        <v>4</v>
      </c>
      <c r="J125" s="24">
        <v>2</v>
      </c>
      <c r="K125" s="24">
        <v>5</v>
      </c>
      <c r="L125" s="24"/>
      <c r="M125" s="24" t="b">
        <v>0</v>
      </c>
      <c r="N125" s="24" t="s">
        <v>477</v>
      </c>
      <c r="O125" s="15">
        <f>VLOOKUP(N125,Select!D:H,5,FALSE)</f>
        <v>0</v>
      </c>
    </row>
    <row r="126" spans="1:15">
      <c r="A126" s="23">
        <v>101307</v>
      </c>
      <c r="B126" s="1" t="s">
        <v>22</v>
      </c>
      <c r="C126" s="6">
        <f>VLOOKUP(B126,Select!A:H,8,FALSE)</f>
        <v>3</v>
      </c>
      <c r="D126" s="1" t="s">
        <v>10</v>
      </c>
      <c r="E126" s="6">
        <f>VLOOKUP(D126,Select!B:H,7,FALSE)</f>
        <v>0</v>
      </c>
      <c r="F126" s="1" t="s">
        <v>3</v>
      </c>
      <c r="G126" s="6">
        <f>VLOOKUP(F126,Select!C:H,6,FALSE)</f>
        <v>0</v>
      </c>
      <c r="H126" s="24" t="s">
        <v>716</v>
      </c>
      <c r="I126" s="24">
        <v>5</v>
      </c>
      <c r="J126" s="24">
        <v>4</v>
      </c>
      <c r="K126" s="24">
        <v>4</v>
      </c>
      <c r="L126" s="24"/>
      <c r="M126" s="24" t="b">
        <v>0</v>
      </c>
      <c r="N126" s="24" t="s">
        <v>477</v>
      </c>
      <c r="O126" s="15">
        <f>VLOOKUP(N126,Select!D:H,5,FALSE)</f>
        <v>0</v>
      </c>
    </row>
    <row r="127" spans="1:15">
      <c r="A127" s="23">
        <v>101308</v>
      </c>
      <c r="B127" s="5" t="s">
        <v>22</v>
      </c>
      <c r="C127" s="6">
        <f>VLOOKUP(B127,Select!A:H,8,FALSE)</f>
        <v>3</v>
      </c>
      <c r="D127" s="5" t="s">
        <v>10</v>
      </c>
      <c r="E127" s="6">
        <f>VLOOKUP(D127,Select!B:H,7,FALSE)</f>
        <v>0</v>
      </c>
      <c r="F127" s="5" t="s">
        <v>3</v>
      </c>
      <c r="G127" s="6">
        <f>VLOOKUP(F127,Select!C:H,6,FALSE)</f>
        <v>0</v>
      </c>
      <c r="H127" s="24" t="s">
        <v>717</v>
      </c>
      <c r="I127" s="24">
        <v>6</v>
      </c>
      <c r="J127" s="24">
        <v>5</v>
      </c>
      <c r="K127" s="24">
        <v>6</v>
      </c>
      <c r="L127" s="24"/>
      <c r="M127" s="24" t="b">
        <v>0</v>
      </c>
      <c r="N127" s="24" t="s">
        <v>477</v>
      </c>
      <c r="O127" s="15">
        <f>VLOOKUP(N127,Select!D:H,5,FALSE)</f>
        <v>0</v>
      </c>
    </row>
    <row r="128" spans="1:15">
      <c r="A128" s="23">
        <v>101309</v>
      </c>
      <c r="B128" s="1" t="s">
        <v>22</v>
      </c>
      <c r="C128" s="6">
        <f>VLOOKUP(B128,Select!A:H,8,FALSE)</f>
        <v>3</v>
      </c>
      <c r="D128" s="1" t="s">
        <v>10</v>
      </c>
      <c r="E128" s="6">
        <f>VLOOKUP(D128,Select!B:H,7,FALSE)</f>
        <v>0</v>
      </c>
      <c r="F128" s="1" t="s">
        <v>3</v>
      </c>
      <c r="G128" s="6">
        <f>VLOOKUP(F128,Select!C:H,6,FALSE)</f>
        <v>0</v>
      </c>
      <c r="H128" s="24" t="s">
        <v>718</v>
      </c>
      <c r="I128" s="24">
        <v>6</v>
      </c>
      <c r="J128" s="24">
        <v>5</v>
      </c>
      <c r="K128" s="24">
        <v>4</v>
      </c>
      <c r="L128" s="24"/>
      <c r="M128" s="24" t="b">
        <v>0</v>
      </c>
      <c r="N128" s="24" t="s">
        <v>477</v>
      </c>
      <c r="O128" s="15">
        <f>VLOOKUP(N128,Select!D:H,5,FALSE)</f>
        <v>0</v>
      </c>
    </row>
    <row r="129" spans="1:15">
      <c r="A129" s="23">
        <v>101310</v>
      </c>
      <c r="B129" s="5" t="s">
        <v>22</v>
      </c>
      <c r="C129" s="6">
        <f>VLOOKUP(B129,Select!A:H,8,FALSE)</f>
        <v>3</v>
      </c>
      <c r="D129" s="5" t="s">
        <v>10</v>
      </c>
      <c r="E129" s="6">
        <f>VLOOKUP(D129,Select!B:H,7,FALSE)</f>
        <v>0</v>
      </c>
      <c r="F129" s="5" t="s">
        <v>23</v>
      </c>
      <c r="G129" s="6">
        <f>VLOOKUP(F129,Select!C:H,6,FALSE)</f>
        <v>1</v>
      </c>
      <c r="H129" s="24" t="s">
        <v>719</v>
      </c>
      <c r="I129" s="24">
        <v>2</v>
      </c>
      <c r="J129" s="24"/>
      <c r="K129" s="24"/>
      <c r="L129" s="24"/>
      <c r="M129" s="24" t="b">
        <v>0</v>
      </c>
      <c r="N129" s="24" t="s">
        <v>477</v>
      </c>
      <c r="O129" s="15">
        <f>VLOOKUP(N129,Select!D:H,5,FALSE)</f>
        <v>0</v>
      </c>
    </row>
    <row r="130" spans="1:15">
      <c r="A130" s="23">
        <v>101311</v>
      </c>
      <c r="B130" s="1" t="s">
        <v>22</v>
      </c>
      <c r="C130" s="6">
        <f>VLOOKUP(B130,Select!A:H,8,FALSE)</f>
        <v>3</v>
      </c>
      <c r="D130" s="1" t="s">
        <v>10</v>
      </c>
      <c r="E130" s="6">
        <f>VLOOKUP(D130,Select!B:H,7,FALSE)</f>
        <v>0</v>
      </c>
      <c r="F130" s="1" t="s">
        <v>23</v>
      </c>
      <c r="G130" s="6">
        <f>VLOOKUP(F130,Select!C:H,6,FALSE)</f>
        <v>1</v>
      </c>
      <c r="H130" s="24" t="s">
        <v>720</v>
      </c>
      <c r="I130" s="24">
        <v>4</v>
      </c>
      <c r="J130" s="24"/>
      <c r="K130" s="24"/>
      <c r="L130" s="24"/>
      <c r="M130" s="24" t="b">
        <v>0</v>
      </c>
      <c r="N130" s="24" t="s">
        <v>477</v>
      </c>
      <c r="O130" s="15">
        <f>VLOOKUP(N130,Select!D:H,5,FALSE)</f>
        <v>0</v>
      </c>
    </row>
    <row r="131" spans="1:15">
      <c r="A131" s="23">
        <v>101312</v>
      </c>
      <c r="B131" s="5" t="s">
        <v>22</v>
      </c>
      <c r="C131" s="6">
        <f>VLOOKUP(B131,Select!A:H,8,FALSE)</f>
        <v>3</v>
      </c>
      <c r="D131" s="5" t="s">
        <v>10</v>
      </c>
      <c r="E131" s="6">
        <f>VLOOKUP(D131,Select!B:H,7,FALSE)</f>
        <v>0</v>
      </c>
      <c r="F131" s="5" t="s">
        <v>23</v>
      </c>
      <c r="G131" s="6">
        <f>VLOOKUP(F131,Select!C:H,6,FALSE)</f>
        <v>1</v>
      </c>
      <c r="H131" s="24" t="s">
        <v>721</v>
      </c>
      <c r="I131" s="24">
        <v>5</v>
      </c>
      <c r="J131" s="24"/>
      <c r="K131" s="24"/>
      <c r="L131" s="24"/>
      <c r="M131" s="24" t="b">
        <v>0</v>
      </c>
      <c r="N131" s="24" t="s">
        <v>477</v>
      </c>
      <c r="O131" s="15">
        <f>VLOOKUP(N131,Select!D:H,5,FALSE)</f>
        <v>0</v>
      </c>
    </row>
    <row r="132" spans="1:15">
      <c r="A132" s="23">
        <v>101313</v>
      </c>
      <c r="B132" s="1" t="s">
        <v>22</v>
      </c>
      <c r="C132" s="6">
        <f>VLOOKUP(B132,Select!A:H,8,FALSE)</f>
        <v>3</v>
      </c>
      <c r="D132" s="1" t="s">
        <v>10</v>
      </c>
      <c r="E132" s="6">
        <f>VLOOKUP(D132,Select!B:H,7,FALSE)</f>
        <v>0</v>
      </c>
      <c r="F132" s="1" t="s">
        <v>23</v>
      </c>
      <c r="G132" s="6">
        <f>VLOOKUP(F132,Select!C:H,6,FALSE)</f>
        <v>1</v>
      </c>
      <c r="H132" s="24" t="s">
        <v>722</v>
      </c>
      <c r="I132" s="24">
        <v>7</v>
      </c>
      <c r="J132" s="24"/>
      <c r="K132" s="24"/>
      <c r="L132" s="24"/>
      <c r="M132" s="24" t="b">
        <v>0</v>
      </c>
      <c r="N132" s="24" t="s">
        <v>477</v>
      </c>
      <c r="O132" s="15">
        <f>VLOOKUP(N132,Select!D:H,5,FALSE)</f>
        <v>0</v>
      </c>
    </row>
    <row r="133" spans="1:15">
      <c r="A133" s="23">
        <v>101314</v>
      </c>
      <c r="B133" s="5" t="s">
        <v>22</v>
      </c>
      <c r="C133" s="6">
        <f>VLOOKUP(B133,Select!A:H,8,FALSE)</f>
        <v>3</v>
      </c>
      <c r="D133" s="5" t="s">
        <v>10</v>
      </c>
      <c r="E133" s="6">
        <f>VLOOKUP(D133,Select!B:H,7,FALSE)</f>
        <v>0</v>
      </c>
      <c r="F133" s="5" t="s">
        <v>34</v>
      </c>
      <c r="G133" s="6">
        <f>VLOOKUP(F133,Select!C:H,6,FALSE)</f>
        <v>2</v>
      </c>
      <c r="H133" s="24" t="s">
        <v>723</v>
      </c>
      <c r="I133" s="24">
        <v>2</v>
      </c>
      <c r="J133" s="24"/>
      <c r="K133" s="24"/>
      <c r="L133" s="24"/>
      <c r="M133" s="24" t="b">
        <v>0</v>
      </c>
      <c r="N133" s="24" t="s">
        <v>477</v>
      </c>
      <c r="O133" s="15">
        <f>VLOOKUP(N133,Select!D:H,5,FALSE)</f>
        <v>0</v>
      </c>
    </row>
    <row r="134" spans="1:15">
      <c r="A134" s="23">
        <v>101315</v>
      </c>
      <c r="B134" s="1" t="s">
        <v>22</v>
      </c>
      <c r="C134" s="6">
        <f>VLOOKUP(B134,Select!A:H,8,FALSE)</f>
        <v>3</v>
      </c>
      <c r="D134" s="1" t="s">
        <v>10</v>
      </c>
      <c r="E134" s="6">
        <f>VLOOKUP(D134,Select!B:H,7,FALSE)</f>
        <v>0</v>
      </c>
      <c r="F134" s="1" t="s">
        <v>34</v>
      </c>
      <c r="G134" s="6">
        <f>VLOOKUP(F134,Select!C:H,6,FALSE)</f>
        <v>2</v>
      </c>
      <c r="H134" s="24" t="s">
        <v>724</v>
      </c>
      <c r="I134" s="24">
        <v>3</v>
      </c>
      <c r="J134" s="24"/>
      <c r="K134" s="24"/>
      <c r="L134" s="24"/>
      <c r="M134" s="24" t="b">
        <v>0</v>
      </c>
      <c r="N134" s="24" t="s">
        <v>477</v>
      </c>
      <c r="O134" s="15">
        <f>VLOOKUP(N134,Select!D:H,5,FALSE)</f>
        <v>0</v>
      </c>
    </row>
    <row r="135" spans="1:15">
      <c r="A135" s="23">
        <v>101316</v>
      </c>
      <c r="B135" s="5" t="s">
        <v>22</v>
      </c>
      <c r="C135" s="6">
        <f>VLOOKUP(B135,Select!A:H,8,FALSE)</f>
        <v>3</v>
      </c>
      <c r="D135" s="5" t="s">
        <v>10</v>
      </c>
      <c r="E135" s="6">
        <f>VLOOKUP(D135,Select!B:H,7,FALSE)</f>
        <v>0</v>
      </c>
      <c r="F135" s="5" t="s">
        <v>34</v>
      </c>
      <c r="G135" s="6">
        <f>VLOOKUP(F135,Select!C:H,6,FALSE)</f>
        <v>2</v>
      </c>
      <c r="H135" s="24" t="s">
        <v>725</v>
      </c>
      <c r="I135" s="24">
        <v>4</v>
      </c>
      <c r="J135" s="24"/>
      <c r="K135" s="24"/>
      <c r="L135" s="24"/>
      <c r="M135" s="24" t="b">
        <v>0</v>
      </c>
      <c r="N135" s="24" t="s">
        <v>477</v>
      </c>
      <c r="O135" s="15">
        <f>VLOOKUP(N135,Select!D:H,5,FALSE)</f>
        <v>0</v>
      </c>
    </row>
    <row r="136" spans="1:15">
      <c r="A136" s="23">
        <v>101317</v>
      </c>
      <c r="B136" s="1" t="s">
        <v>22</v>
      </c>
      <c r="C136" s="6">
        <f>VLOOKUP(B136,Select!A:H,8,FALSE)</f>
        <v>3</v>
      </c>
      <c r="D136" s="1" t="s">
        <v>36</v>
      </c>
      <c r="E136" s="6">
        <f>VLOOKUP(D136,Select!B:H,7,FALSE)</f>
        <v>1</v>
      </c>
      <c r="F136" s="1" t="s">
        <v>3</v>
      </c>
      <c r="G136" s="6">
        <f>VLOOKUP(F136,Select!C:H,6,FALSE)</f>
        <v>0</v>
      </c>
      <c r="H136" s="24" t="s">
        <v>726</v>
      </c>
      <c r="I136" s="24">
        <v>2</v>
      </c>
      <c r="J136" s="24">
        <v>2</v>
      </c>
      <c r="K136" s="24">
        <v>1</v>
      </c>
      <c r="L136" s="24"/>
      <c r="M136" s="24" t="b">
        <v>0</v>
      </c>
      <c r="N136" s="24" t="s">
        <v>477</v>
      </c>
      <c r="O136" s="15">
        <f>VLOOKUP(N136,Select!D:H,5,FALSE)</f>
        <v>0</v>
      </c>
    </row>
    <row r="137" spans="1:15">
      <c r="A137" s="23">
        <v>101318</v>
      </c>
      <c r="B137" s="5" t="s">
        <v>22</v>
      </c>
      <c r="C137" s="6">
        <f>VLOOKUP(B137,Select!A:H,8,FALSE)</f>
        <v>3</v>
      </c>
      <c r="D137" s="5" t="s">
        <v>36</v>
      </c>
      <c r="E137" s="6">
        <f>VLOOKUP(D137,Select!B:H,7,FALSE)</f>
        <v>1</v>
      </c>
      <c r="F137" s="5" t="s">
        <v>3</v>
      </c>
      <c r="G137" s="6">
        <f>VLOOKUP(F137,Select!C:H,6,FALSE)</f>
        <v>0</v>
      </c>
      <c r="H137" s="24" t="s">
        <v>727</v>
      </c>
      <c r="I137" s="24">
        <v>3</v>
      </c>
      <c r="J137" s="24">
        <v>2</v>
      </c>
      <c r="K137" s="24">
        <v>3</v>
      </c>
      <c r="L137" s="24"/>
      <c r="M137" s="24" t="b">
        <v>0</v>
      </c>
      <c r="N137" s="24" t="s">
        <v>477</v>
      </c>
      <c r="O137" s="15">
        <f>VLOOKUP(N137,Select!D:H,5,FALSE)</f>
        <v>0</v>
      </c>
    </row>
    <row r="138" spans="1:15">
      <c r="A138" s="23">
        <v>101319</v>
      </c>
      <c r="B138" s="1" t="s">
        <v>22</v>
      </c>
      <c r="C138" s="6">
        <f>VLOOKUP(B138,Select!A:H,8,FALSE)</f>
        <v>3</v>
      </c>
      <c r="D138" s="1" t="s">
        <v>36</v>
      </c>
      <c r="E138" s="6">
        <f>VLOOKUP(D138,Select!B:H,7,FALSE)</f>
        <v>1</v>
      </c>
      <c r="F138" s="1" t="s">
        <v>3</v>
      </c>
      <c r="G138" s="6">
        <f>VLOOKUP(F138,Select!C:H,6,FALSE)</f>
        <v>0</v>
      </c>
      <c r="H138" s="24" t="s">
        <v>728</v>
      </c>
      <c r="I138" s="24">
        <v>4</v>
      </c>
      <c r="J138" s="24">
        <v>4</v>
      </c>
      <c r="K138" s="24">
        <v>5</v>
      </c>
      <c r="L138" s="24"/>
      <c r="M138" s="24" t="b">
        <v>0</v>
      </c>
      <c r="N138" s="24" t="s">
        <v>477</v>
      </c>
      <c r="O138" s="15">
        <f>VLOOKUP(N138,Select!D:H,5,FALSE)</f>
        <v>0</v>
      </c>
    </row>
    <row r="139" spans="1:15">
      <c r="A139" s="23">
        <v>101320</v>
      </c>
      <c r="B139" s="5" t="s">
        <v>22</v>
      </c>
      <c r="C139" s="6">
        <f>VLOOKUP(B139,Select!A:H,8,FALSE)</f>
        <v>3</v>
      </c>
      <c r="D139" s="5" t="s">
        <v>36</v>
      </c>
      <c r="E139" s="6">
        <f>VLOOKUP(D139,Select!B:H,7,FALSE)</f>
        <v>1</v>
      </c>
      <c r="F139" s="5" t="s">
        <v>3</v>
      </c>
      <c r="G139" s="6">
        <f>VLOOKUP(F139,Select!C:H,6,FALSE)</f>
        <v>0</v>
      </c>
      <c r="H139" s="24" t="s">
        <v>729</v>
      </c>
      <c r="I139" s="24">
        <v>4</v>
      </c>
      <c r="J139" s="24">
        <v>1</v>
      </c>
      <c r="K139" s="24">
        <v>1</v>
      </c>
      <c r="L139" s="24"/>
      <c r="M139" s="24" t="b">
        <v>0</v>
      </c>
      <c r="N139" s="24" t="s">
        <v>477</v>
      </c>
      <c r="O139" s="15">
        <f>VLOOKUP(N139,Select!D:H,5,FALSE)</f>
        <v>0</v>
      </c>
    </row>
    <row r="140" spans="1:15">
      <c r="A140" s="23">
        <v>101321</v>
      </c>
      <c r="B140" s="1" t="s">
        <v>22</v>
      </c>
      <c r="C140" s="6">
        <f>VLOOKUP(B140,Select!A:H,8,FALSE)</f>
        <v>3</v>
      </c>
      <c r="D140" s="1" t="s">
        <v>36</v>
      </c>
      <c r="E140" s="6">
        <f>VLOOKUP(D140,Select!B:H,7,FALSE)</f>
        <v>1</v>
      </c>
      <c r="F140" s="1" t="s">
        <v>3</v>
      </c>
      <c r="G140" s="6">
        <f>VLOOKUP(F140,Select!C:H,6,FALSE)</f>
        <v>0</v>
      </c>
      <c r="H140" s="24" t="s">
        <v>730</v>
      </c>
      <c r="I140" s="24">
        <v>5</v>
      </c>
      <c r="J140" s="24">
        <v>3</v>
      </c>
      <c r="K140" s="24">
        <v>5</v>
      </c>
      <c r="L140" s="24"/>
      <c r="M140" s="24" t="b">
        <v>0</v>
      </c>
      <c r="N140" s="24" t="s">
        <v>477</v>
      </c>
      <c r="O140" s="15">
        <f>VLOOKUP(N140,Select!D:H,5,FALSE)</f>
        <v>0</v>
      </c>
    </row>
    <row r="141" spans="1:15">
      <c r="A141" s="23">
        <v>101322</v>
      </c>
      <c r="B141" s="5" t="s">
        <v>22</v>
      </c>
      <c r="C141" s="6">
        <f>VLOOKUP(B141,Select!A:H,8,FALSE)</f>
        <v>3</v>
      </c>
      <c r="D141" s="5" t="s">
        <v>36</v>
      </c>
      <c r="E141" s="6">
        <f>VLOOKUP(D141,Select!B:H,7,FALSE)</f>
        <v>1</v>
      </c>
      <c r="F141" s="5" t="s">
        <v>3</v>
      </c>
      <c r="G141" s="6">
        <f>VLOOKUP(F141,Select!C:H,6,FALSE)</f>
        <v>0</v>
      </c>
      <c r="H141" s="24" t="s">
        <v>731</v>
      </c>
      <c r="I141" s="24">
        <v>6</v>
      </c>
      <c r="J141" s="24">
        <v>4</v>
      </c>
      <c r="K141" s="24">
        <v>6</v>
      </c>
      <c r="L141" s="24"/>
      <c r="M141" s="24" t="b">
        <v>0</v>
      </c>
      <c r="N141" s="24" t="s">
        <v>477</v>
      </c>
      <c r="O141" s="15">
        <f>VLOOKUP(N141,Select!D:H,5,FALSE)</f>
        <v>0</v>
      </c>
    </row>
    <row r="142" spans="1:15">
      <c r="A142" s="23">
        <v>101323</v>
      </c>
      <c r="B142" s="1" t="s">
        <v>22</v>
      </c>
      <c r="C142" s="6">
        <f>VLOOKUP(B142,Select!A:H,8,FALSE)</f>
        <v>3</v>
      </c>
      <c r="D142" s="1" t="s">
        <v>36</v>
      </c>
      <c r="E142" s="6">
        <f>VLOOKUP(D142,Select!B:H,7,FALSE)</f>
        <v>1</v>
      </c>
      <c r="F142" s="1" t="s">
        <v>3</v>
      </c>
      <c r="G142" s="6">
        <f>VLOOKUP(F142,Select!C:H,6,FALSE)</f>
        <v>0</v>
      </c>
      <c r="H142" s="24" t="s">
        <v>732</v>
      </c>
      <c r="I142" s="24">
        <v>6</v>
      </c>
      <c r="J142" s="24"/>
      <c r="K142" s="24">
        <v>4</v>
      </c>
      <c r="L142" s="24"/>
      <c r="M142" s="24" t="b">
        <v>0</v>
      </c>
      <c r="N142" s="24" t="s">
        <v>477</v>
      </c>
      <c r="O142" s="15">
        <f>VLOOKUP(N142,Select!D:H,5,FALSE)</f>
        <v>0</v>
      </c>
    </row>
    <row r="143" spans="1:15">
      <c r="A143" s="23">
        <v>101324</v>
      </c>
      <c r="B143" s="5" t="s">
        <v>22</v>
      </c>
      <c r="C143" s="6">
        <f>VLOOKUP(B143,Select!A:H,8,FALSE)</f>
        <v>3</v>
      </c>
      <c r="D143" s="5" t="s">
        <v>36</v>
      </c>
      <c r="E143" s="6">
        <f>VLOOKUP(D143,Select!B:H,7,FALSE)</f>
        <v>1</v>
      </c>
      <c r="F143" s="5" t="s">
        <v>23</v>
      </c>
      <c r="G143" s="6">
        <f>VLOOKUP(F143,Select!C:H,6,FALSE)</f>
        <v>1</v>
      </c>
      <c r="H143" s="24" t="s">
        <v>733</v>
      </c>
      <c r="I143" s="24">
        <v>1</v>
      </c>
      <c r="J143" s="24"/>
      <c r="K143" s="24"/>
      <c r="L143" s="24"/>
      <c r="M143" s="24" t="b">
        <v>0</v>
      </c>
      <c r="N143" s="24" t="s">
        <v>477</v>
      </c>
      <c r="O143" s="15">
        <f>VLOOKUP(N143,Select!D:H,5,FALSE)</f>
        <v>0</v>
      </c>
    </row>
    <row r="144" spans="1:15">
      <c r="A144" s="23">
        <v>101325</v>
      </c>
      <c r="B144" s="1" t="s">
        <v>22</v>
      </c>
      <c r="C144" s="6">
        <f>VLOOKUP(B144,Select!A:H,8,FALSE)</f>
        <v>3</v>
      </c>
      <c r="D144" s="1" t="s">
        <v>36</v>
      </c>
      <c r="E144" s="6">
        <f>VLOOKUP(D144,Select!B:H,7,FALSE)</f>
        <v>1</v>
      </c>
      <c r="F144" s="1" t="s">
        <v>23</v>
      </c>
      <c r="G144" s="6">
        <f>VLOOKUP(F144,Select!C:H,6,FALSE)</f>
        <v>1</v>
      </c>
      <c r="H144" s="24" t="s">
        <v>734</v>
      </c>
      <c r="I144" s="24">
        <v>3</v>
      </c>
      <c r="J144" s="24"/>
      <c r="K144" s="24"/>
      <c r="L144" s="24"/>
      <c r="M144" s="24" t="b">
        <v>0</v>
      </c>
      <c r="N144" s="24" t="s">
        <v>477</v>
      </c>
      <c r="O144" s="15">
        <f>VLOOKUP(N144,Select!D:H,5,FALSE)</f>
        <v>0</v>
      </c>
    </row>
    <row r="145" spans="1:15">
      <c r="A145" s="23">
        <v>101326</v>
      </c>
      <c r="B145" s="5" t="s">
        <v>22</v>
      </c>
      <c r="C145" s="6">
        <f>VLOOKUP(B145,Select!A:H,8,FALSE)</f>
        <v>3</v>
      </c>
      <c r="D145" s="5" t="s">
        <v>36</v>
      </c>
      <c r="E145" s="6">
        <f>VLOOKUP(D145,Select!B:H,7,FALSE)</f>
        <v>1</v>
      </c>
      <c r="F145" s="5" t="s">
        <v>23</v>
      </c>
      <c r="G145" s="6">
        <f>VLOOKUP(F145,Select!C:H,6,FALSE)</f>
        <v>1</v>
      </c>
      <c r="H145" s="24" t="s">
        <v>735</v>
      </c>
      <c r="I145" s="24">
        <v>3</v>
      </c>
      <c r="J145" s="24"/>
      <c r="K145" s="24"/>
      <c r="L145" s="24"/>
      <c r="M145" s="24" t="b">
        <v>0</v>
      </c>
      <c r="N145" s="24" t="s">
        <v>477</v>
      </c>
      <c r="O145" s="15">
        <f>VLOOKUP(N145,Select!D:H,5,FALSE)</f>
        <v>0</v>
      </c>
    </row>
    <row r="146" spans="1:15">
      <c r="A146" s="23">
        <v>101327</v>
      </c>
      <c r="B146" s="1" t="s">
        <v>22</v>
      </c>
      <c r="C146" s="6">
        <f>VLOOKUP(B146,Select!A:H,8,FALSE)</f>
        <v>3</v>
      </c>
      <c r="D146" s="1" t="s">
        <v>36</v>
      </c>
      <c r="E146" s="6">
        <f>VLOOKUP(D146,Select!B:H,7,FALSE)</f>
        <v>1</v>
      </c>
      <c r="F146" s="1" t="s">
        <v>23</v>
      </c>
      <c r="G146" s="6">
        <f>VLOOKUP(F146,Select!C:H,6,FALSE)</f>
        <v>1</v>
      </c>
      <c r="H146" s="24" t="s">
        <v>736</v>
      </c>
      <c r="I146" s="24">
        <v>5</v>
      </c>
      <c r="J146" s="24"/>
      <c r="K146" s="24"/>
      <c r="L146" s="24"/>
      <c r="M146" s="24" t="b">
        <v>0</v>
      </c>
      <c r="N146" s="24" t="s">
        <v>477</v>
      </c>
      <c r="O146" s="15">
        <f>VLOOKUP(N146,Select!D:H,5,FALSE)</f>
        <v>0</v>
      </c>
    </row>
    <row r="147" spans="1:15">
      <c r="A147" s="23">
        <v>101328</v>
      </c>
      <c r="B147" s="5" t="s">
        <v>22</v>
      </c>
      <c r="C147" s="6">
        <f>VLOOKUP(B147,Select!A:H,8,FALSE)</f>
        <v>3</v>
      </c>
      <c r="D147" s="5" t="s">
        <v>36</v>
      </c>
      <c r="E147" s="6">
        <f>VLOOKUP(D147,Select!B:H,7,FALSE)</f>
        <v>1</v>
      </c>
      <c r="F147" s="5" t="s">
        <v>23</v>
      </c>
      <c r="G147" s="6">
        <f>VLOOKUP(F147,Select!C:H,6,FALSE)</f>
        <v>1</v>
      </c>
      <c r="H147" s="24" t="s">
        <v>737</v>
      </c>
      <c r="I147" s="24">
        <v>7</v>
      </c>
      <c r="J147" s="24"/>
      <c r="K147" s="24"/>
      <c r="L147" s="24"/>
      <c r="M147" s="24" t="b">
        <v>0</v>
      </c>
      <c r="N147" s="24" t="s">
        <v>477</v>
      </c>
      <c r="O147" s="15">
        <f>VLOOKUP(N147,Select!D:H,5,FALSE)</f>
        <v>0</v>
      </c>
    </row>
    <row r="148" spans="1:15">
      <c r="A148" s="23">
        <v>101329</v>
      </c>
      <c r="B148" s="1" t="s">
        <v>22</v>
      </c>
      <c r="C148" s="6">
        <f>VLOOKUP(B148,Select!A:H,8,FALSE)</f>
        <v>3</v>
      </c>
      <c r="D148" s="1" t="s">
        <v>36</v>
      </c>
      <c r="E148" s="6">
        <f>VLOOKUP(D148,Select!B:H,7,FALSE)</f>
        <v>1</v>
      </c>
      <c r="F148" s="1" t="s">
        <v>34</v>
      </c>
      <c r="G148" s="6">
        <f>VLOOKUP(F148,Select!C:H,6,FALSE)</f>
        <v>2</v>
      </c>
      <c r="H148" s="24" t="s">
        <v>738</v>
      </c>
      <c r="I148" s="24">
        <v>3</v>
      </c>
      <c r="J148" s="24"/>
      <c r="K148" s="24"/>
      <c r="L148" s="24"/>
      <c r="M148" s="24" t="b">
        <v>0</v>
      </c>
      <c r="N148" s="24" t="s">
        <v>477</v>
      </c>
      <c r="O148" s="15">
        <f>VLOOKUP(N148,Select!D:H,5,FALSE)</f>
        <v>0</v>
      </c>
    </row>
    <row r="149" spans="1:15">
      <c r="A149" s="23">
        <v>101330</v>
      </c>
      <c r="B149" s="5" t="s">
        <v>22</v>
      </c>
      <c r="C149" s="6">
        <f>VLOOKUP(B149,Select!A:H,8,FALSE)</f>
        <v>3</v>
      </c>
      <c r="D149" s="5" t="s">
        <v>21</v>
      </c>
      <c r="E149" s="6">
        <f>VLOOKUP(D149,Select!B:H,7,FALSE)</f>
        <v>2</v>
      </c>
      <c r="F149" s="5" t="s">
        <v>3</v>
      </c>
      <c r="G149" s="6">
        <f>VLOOKUP(F149,Select!C:H,6,FALSE)</f>
        <v>0</v>
      </c>
      <c r="H149" s="24" t="s">
        <v>739</v>
      </c>
      <c r="I149" s="24">
        <v>5</v>
      </c>
      <c r="J149" s="24">
        <v>2</v>
      </c>
      <c r="K149" s="24">
        <v>4</v>
      </c>
      <c r="L149" s="24"/>
      <c r="M149" s="24" t="b">
        <v>0</v>
      </c>
      <c r="N149" s="24" t="s">
        <v>477</v>
      </c>
      <c r="O149" s="15">
        <f>VLOOKUP(N149,Select!D:H,5,FALSE)</f>
        <v>0</v>
      </c>
    </row>
    <row r="150" spans="1:15">
      <c r="A150" s="23">
        <v>101331</v>
      </c>
      <c r="B150" s="1" t="s">
        <v>22</v>
      </c>
      <c r="C150" s="6">
        <f>VLOOKUP(B150,Select!A:H,8,FALSE)</f>
        <v>3</v>
      </c>
      <c r="D150" s="1" t="s">
        <v>21</v>
      </c>
      <c r="E150" s="6">
        <f>VLOOKUP(D150,Select!B:H,7,FALSE)</f>
        <v>2</v>
      </c>
      <c r="F150" s="1" t="s">
        <v>3</v>
      </c>
      <c r="G150" s="6">
        <f>VLOOKUP(F150,Select!C:H,6,FALSE)</f>
        <v>0</v>
      </c>
      <c r="H150" s="24" t="s">
        <v>740</v>
      </c>
      <c r="I150" s="24">
        <v>7</v>
      </c>
      <c r="J150" s="24">
        <v>4</v>
      </c>
      <c r="K150" s="24">
        <v>2</v>
      </c>
      <c r="L150" s="24"/>
      <c r="M150" s="24" t="b">
        <v>0</v>
      </c>
      <c r="N150" s="24" t="s">
        <v>477</v>
      </c>
      <c r="O150" s="15">
        <f>VLOOKUP(N150,Select!D:H,5,FALSE)</f>
        <v>0</v>
      </c>
    </row>
    <row r="151" spans="1:15">
      <c r="A151" s="23">
        <v>101332</v>
      </c>
      <c r="B151" s="5" t="s">
        <v>22</v>
      </c>
      <c r="C151" s="6">
        <f>VLOOKUP(B151,Select!A:H,8,FALSE)</f>
        <v>3</v>
      </c>
      <c r="D151" s="5" t="s">
        <v>21</v>
      </c>
      <c r="E151" s="6">
        <f>VLOOKUP(D151,Select!B:H,7,FALSE)</f>
        <v>2</v>
      </c>
      <c r="F151" s="5" t="s">
        <v>23</v>
      </c>
      <c r="G151" s="6">
        <f>VLOOKUP(F151,Select!C:H,6,FALSE)</f>
        <v>1</v>
      </c>
      <c r="H151" s="24" t="s">
        <v>741</v>
      </c>
      <c r="I151" s="24">
        <v>3</v>
      </c>
      <c r="J151" s="24"/>
      <c r="K151" s="24"/>
      <c r="L151" s="24"/>
      <c r="M151" s="24" t="b">
        <v>0</v>
      </c>
      <c r="N151" s="24" t="s">
        <v>477</v>
      </c>
      <c r="O151" s="15">
        <f>VLOOKUP(N151,Select!D:H,5,FALSE)</f>
        <v>0</v>
      </c>
    </row>
    <row r="152" spans="1:15">
      <c r="A152" s="23">
        <v>101333</v>
      </c>
      <c r="B152" s="1" t="s">
        <v>22</v>
      </c>
      <c r="C152" s="6">
        <f>VLOOKUP(B152,Select!A:H,8,FALSE)</f>
        <v>3</v>
      </c>
      <c r="D152" s="1" t="s">
        <v>21</v>
      </c>
      <c r="E152" s="6">
        <f>VLOOKUP(D152,Select!B:H,7,FALSE)</f>
        <v>2</v>
      </c>
      <c r="F152" s="1" t="s">
        <v>23</v>
      </c>
      <c r="G152" s="6">
        <f>VLOOKUP(F152,Select!C:H,6,FALSE)</f>
        <v>1</v>
      </c>
      <c r="H152" s="24" t="s">
        <v>742</v>
      </c>
      <c r="I152" s="24">
        <v>4</v>
      </c>
      <c r="J152" s="24"/>
      <c r="K152" s="24"/>
      <c r="L152" s="24"/>
      <c r="M152" s="24" t="b">
        <v>0</v>
      </c>
      <c r="N152" s="24" t="s">
        <v>477</v>
      </c>
      <c r="O152" s="15">
        <f>VLOOKUP(N152,Select!D:H,5,FALSE)</f>
        <v>0</v>
      </c>
    </row>
    <row r="153" spans="1:15">
      <c r="A153" s="23">
        <v>101334</v>
      </c>
      <c r="B153" s="5" t="s">
        <v>22</v>
      </c>
      <c r="C153" s="6">
        <f>VLOOKUP(B153,Select!A:H,8,FALSE)</f>
        <v>3</v>
      </c>
      <c r="D153" s="5" t="s">
        <v>21</v>
      </c>
      <c r="E153" s="6">
        <f>VLOOKUP(D153,Select!B:H,7,FALSE)</f>
        <v>2</v>
      </c>
      <c r="F153" s="5" t="s">
        <v>23</v>
      </c>
      <c r="G153" s="6">
        <f>VLOOKUP(F153,Select!C:H,6,FALSE)</f>
        <v>1</v>
      </c>
      <c r="H153" s="24" t="s">
        <v>743</v>
      </c>
      <c r="I153" s="24">
        <v>5</v>
      </c>
      <c r="J153" s="24"/>
      <c r="K153" s="24"/>
      <c r="L153" s="24"/>
      <c r="M153" s="24" t="b">
        <v>0</v>
      </c>
      <c r="N153" s="24" t="s">
        <v>477</v>
      </c>
      <c r="O153" s="15">
        <f>VLOOKUP(N153,Select!D:H,5,FALSE)</f>
        <v>0</v>
      </c>
    </row>
    <row r="154" spans="1:15">
      <c r="A154" s="23">
        <v>101335</v>
      </c>
      <c r="B154" s="1" t="s">
        <v>22</v>
      </c>
      <c r="C154" s="6">
        <f>VLOOKUP(B154,Select!A:H,8,FALSE)</f>
        <v>3</v>
      </c>
      <c r="D154" s="1" t="s">
        <v>21</v>
      </c>
      <c r="E154" s="6">
        <f>VLOOKUP(D154,Select!B:H,7,FALSE)</f>
        <v>2</v>
      </c>
      <c r="F154" s="1" t="s">
        <v>23</v>
      </c>
      <c r="G154" s="6">
        <f>VLOOKUP(F154,Select!C:H,6,FALSE)</f>
        <v>1</v>
      </c>
      <c r="H154" s="24" t="s">
        <v>744</v>
      </c>
      <c r="I154" s="24">
        <v>6</v>
      </c>
      <c r="J154" s="24"/>
      <c r="K154" s="24"/>
      <c r="L154" s="24"/>
      <c r="M154" s="24" t="b">
        <v>0</v>
      </c>
      <c r="N154" s="24" t="s">
        <v>477</v>
      </c>
      <c r="O154" s="15">
        <f>VLOOKUP(N154,Select!D:H,5,FALSE)</f>
        <v>0</v>
      </c>
    </row>
    <row r="155" spans="1:15">
      <c r="A155" s="23">
        <v>101336</v>
      </c>
      <c r="B155" s="5" t="s">
        <v>22</v>
      </c>
      <c r="C155" s="6">
        <f>VLOOKUP(B155,Select!A:H,8,FALSE)</f>
        <v>3</v>
      </c>
      <c r="D155" s="5" t="s">
        <v>21</v>
      </c>
      <c r="E155" s="6">
        <f>VLOOKUP(D155,Select!B:H,7,FALSE)</f>
        <v>2</v>
      </c>
      <c r="F155" s="5" t="s">
        <v>23</v>
      </c>
      <c r="G155" s="6">
        <f>VLOOKUP(F155,Select!C:H,6,FALSE)</f>
        <v>1</v>
      </c>
      <c r="H155" s="24" t="s">
        <v>745</v>
      </c>
      <c r="I155" s="24">
        <v>18</v>
      </c>
      <c r="J155" s="24"/>
      <c r="K155" s="24"/>
      <c r="L155" s="24"/>
      <c r="M155" s="24" t="b">
        <v>0</v>
      </c>
      <c r="N155" s="24" t="s">
        <v>477</v>
      </c>
      <c r="O155" s="15">
        <f>VLOOKUP(N155,Select!D:H,5,FALSE)</f>
        <v>0</v>
      </c>
    </row>
    <row r="156" spans="1:15">
      <c r="A156" s="23">
        <v>101337</v>
      </c>
      <c r="B156" s="1" t="s">
        <v>22</v>
      </c>
      <c r="C156" s="6">
        <f>VLOOKUP(B156,Select!A:H,8,FALSE)</f>
        <v>3</v>
      </c>
      <c r="D156" s="1" t="s">
        <v>21</v>
      </c>
      <c r="E156" s="6">
        <f>VLOOKUP(D156,Select!B:H,7,FALSE)</f>
        <v>2</v>
      </c>
      <c r="F156" s="1" t="s">
        <v>34</v>
      </c>
      <c r="G156" s="6">
        <f>VLOOKUP(F156,Select!C:H,6,FALSE)</f>
        <v>2</v>
      </c>
      <c r="H156" s="24" t="s">
        <v>746</v>
      </c>
      <c r="I156" s="24">
        <v>5</v>
      </c>
      <c r="J156" s="24"/>
      <c r="K156" s="24"/>
      <c r="L156" s="24"/>
      <c r="M156" s="24" t="b">
        <v>0</v>
      </c>
      <c r="N156" s="24" t="s">
        <v>477</v>
      </c>
      <c r="O156" s="15">
        <f>VLOOKUP(N156,Select!D:H,5,FALSE)</f>
        <v>0</v>
      </c>
    </row>
    <row r="157" spans="1:15">
      <c r="A157" s="23">
        <v>101338</v>
      </c>
      <c r="B157" s="5" t="s">
        <v>22</v>
      </c>
      <c r="C157" s="6">
        <f>VLOOKUP(B157,Select!A:H,8,FALSE)</f>
        <v>3</v>
      </c>
      <c r="D157" s="5" t="s">
        <v>21</v>
      </c>
      <c r="E157" s="6">
        <f>VLOOKUP(D157,Select!B:H,7,FALSE)</f>
        <v>2</v>
      </c>
      <c r="F157" s="5" t="s">
        <v>34</v>
      </c>
      <c r="G157" s="6">
        <f>VLOOKUP(F157,Select!C:H,6,FALSE)</f>
        <v>2</v>
      </c>
      <c r="H157" s="24" t="s">
        <v>747</v>
      </c>
      <c r="I157" s="24">
        <v>7</v>
      </c>
      <c r="J157" s="24"/>
      <c r="K157" s="24"/>
      <c r="L157" s="24"/>
      <c r="M157" s="24" t="b">
        <v>0</v>
      </c>
      <c r="N157" s="24" t="s">
        <v>477</v>
      </c>
      <c r="O157" s="15">
        <f>VLOOKUP(N157,Select!D:H,5,FALSE)</f>
        <v>0</v>
      </c>
    </row>
    <row r="158" spans="1:15">
      <c r="A158" s="23">
        <v>101339</v>
      </c>
      <c r="B158" s="1" t="s">
        <v>22</v>
      </c>
      <c r="C158" s="6">
        <f>VLOOKUP(B158,Select!A:H,8,FALSE)</f>
        <v>3</v>
      </c>
      <c r="D158" s="1" t="s">
        <v>30</v>
      </c>
      <c r="E158" s="6">
        <f>VLOOKUP(D158,Select!B:H,7,FALSE)</f>
        <v>3</v>
      </c>
      <c r="F158" s="1" t="s">
        <v>3</v>
      </c>
      <c r="G158" s="6">
        <f>VLOOKUP(F158,Select!C:H,6,FALSE)</f>
        <v>0</v>
      </c>
      <c r="H158" s="24" t="s">
        <v>748</v>
      </c>
      <c r="I158" s="24">
        <v>4</v>
      </c>
      <c r="J158" s="24">
        <v>3</v>
      </c>
      <c r="K158" s="24">
        <v>2</v>
      </c>
      <c r="L158" s="24"/>
      <c r="M158" s="24" t="b">
        <v>0</v>
      </c>
      <c r="N158" s="24" t="s">
        <v>477</v>
      </c>
      <c r="O158" s="15">
        <f>VLOOKUP(N158,Select!D:H,5,FALSE)</f>
        <v>0</v>
      </c>
    </row>
    <row r="159" spans="1:15">
      <c r="A159" s="23">
        <v>101340</v>
      </c>
      <c r="B159" s="5" t="s">
        <v>22</v>
      </c>
      <c r="C159" s="6">
        <f>VLOOKUP(B159,Select!A:H,8,FALSE)</f>
        <v>3</v>
      </c>
      <c r="D159" s="5" t="s">
        <v>30</v>
      </c>
      <c r="E159" s="6">
        <f>VLOOKUP(D159,Select!B:H,7,FALSE)</f>
        <v>3</v>
      </c>
      <c r="F159" s="5" t="s">
        <v>3</v>
      </c>
      <c r="G159" s="6">
        <f>VLOOKUP(F159,Select!C:H,6,FALSE)</f>
        <v>0</v>
      </c>
      <c r="H159" s="24" t="s">
        <v>749</v>
      </c>
      <c r="I159" s="24">
        <v>8</v>
      </c>
      <c r="J159" s="24">
        <v>5</v>
      </c>
      <c r="K159" s="24">
        <v>6</v>
      </c>
      <c r="L159" s="24"/>
      <c r="M159" s="24" t="b">
        <v>0</v>
      </c>
      <c r="N159" s="24" t="s">
        <v>477</v>
      </c>
      <c r="O159" s="15">
        <f>VLOOKUP(N159,Select!D:H,5,FALSE)</f>
        <v>0</v>
      </c>
    </row>
    <row r="160" spans="1:15">
      <c r="A160" s="23">
        <v>101341</v>
      </c>
      <c r="B160" s="1" t="s">
        <v>22</v>
      </c>
      <c r="C160" s="6">
        <f>VLOOKUP(B160,Select!A:H,8,FALSE)</f>
        <v>3</v>
      </c>
      <c r="D160" s="1" t="s">
        <v>30</v>
      </c>
      <c r="E160" s="6">
        <f>VLOOKUP(D160,Select!B:H,7,FALSE)</f>
        <v>3</v>
      </c>
      <c r="F160" s="1" t="s">
        <v>3</v>
      </c>
      <c r="G160" s="6">
        <f>VLOOKUP(F160,Select!C:H,6,FALSE)</f>
        <v>0</v>
      </c>
      <c r="H160" s="24" t="s">
        <v>750</v>
      </c>
      <c r="I160" s="24">
        <v>9</v>
      </c>
      <c r="J160" s="24">
        <v>6</v>
      </c>
      <c r="K160" s="24">
        <v>7</v>
      </c>
      <c r="L160" s="24"/>
      <c r="M160" s="24" t="b">
        <v>0</v>
      </c>
      <c r="N160" s="24" t="s">
        <v>477</v>
      </c>
      <c r="O160" s="15">
        <f>VLOOKUP(N160,Select!D:H,5,FALSE)</f>
        <v>0</v>
      </c>
    </row>
    <row r="161" spans="1:15">
      <c r="A161" s="23">
        <v>101342</v>
      </c>
      <c r="B161" s="5" t="s">
        <v>22</v>
      </c>
      <c r="C161" s="6">
        <f>VLOOKUP(B161,Select!A:H,8,FALSE)</f>
        <v>3</v>
      </c>
      <c r="D161" s="5" t="s">
        <v>10</v>
      </c>
      <c r="E161" s="6">
        <f>VLOOKUP(D161,Select!B:H,7,FALSE)</f>
        <v>0</v>
      </c>
      <c r="F161" s="5" t="s">
        <v>3</v>
      </c>
      <c r="G161" s="6">
        <f>VLOOKUP(F161,Select!C:H,6,FALSE)</f>
        <v>0</v>
      </c>
      <c r="H161" s="24" t="s">
        <v>232</v>
      </c>
      <c r="I161" s="24">
        <v>4</v>
      </c>
      <c r="J161" s="24">
        <v>3</v>
      </c>
      <c r="K161" s="24">
        <v>3</v>
      </c>
      <c r="L161" s="24"/>
      <c r="M161" s="24" t="b">
        <v>1</v>
      </c>
      <c r="N161" s="24" t="s">
        <v>477</v>
      </c>
      <c r="O161" s="15">
        <f>VLOOKUP(N161,Select!D:H,5,FALSE)</f>
        <v>0</v>
      </c>
    </row>
    <row r="162" spans="1:15">
      <c r="A162" s="23">
        <v>101343</v>
      </c>
      <c r="B162" s="1" t="s">
        <v>22</v>
      </c>
      <c r="C162" s="6">
        <f>VLOOKUP(B162,Select!A:H,8,FALSE)</f>
        <v>3</v>
      </c>
      <c r="D162" s="1" t="s">
        <v>10</v>
      </c>
      <c r="E162" s="6">
        <f>VLOOKUP(D162,Select!B:H,7,FALSE)</f>
        <v>0</v>
      </c>
      <c r="F162" s="1" t="s">
        <v>23</v>
      </c>
      <c r="G162" s="6">
        <f>VLOOKUP(F162,Select!C:H,6,FALSE)</f>
        <v>1</v>
      </c>
      <c r="H162" s="24" t="s">
        <v>751</v>
      </c>
      <c r="I162" s="24">
        <v>2</v>
      </c>
      <c r="J162" s="24"/>
      <c r="K162" s="24"/>
      <c r="L162" s="24"/>
      <c r="M162" s="24" t="b">
        <v>1</v>
      </c>
      <c r="N162" s="24" t="s">
        <v>477</v>
      </c>
      <c r="O162" s="15">
        <f>VLOOKUP(N162,Select!D:H,5,FALSE)</f>
        <v>0</v>
      </c>
    </row>
    <row r="163" spans="1:15">
      <c r="A163" s="23">
        <v>101344</v>
      </c>
      <c r="B163" s="5" t="s">
        <v>22</v>
      </c>
      <c r="C163" s="6">
        <f>VLOOKUP(B163,Select!A:H,8,FALSE)</f>
        <v>3</v>
      </c>
      <c r="D163" s="5" t="s">
        <v>10</v>
      </c>
      <c r="E163" s="6">
        <f>VLOOKUP(D163,Select!B:H,7,FALSE)</f>
        <v>0</v>
      </c>
      <c r="F163" s="5" t="s">
        <v>34</v>
      </c>
      <c r="G163" s="6">
        <f>VLOOKUP(F163,Select!C:H,6,FALSE)</f>
        <v>2</v>
      </c>
      <c r="H163" s="24" t="s">
        <v>752</v>
      </c>
      <c r="I163" s="24">
        <v>1</v>
      </c>
      <c r="J163" s="24"/>
      <c r="K163" s="24"/>
      <c r="L163" s="24"/>
      <c r="M163" s="24" t="b">
        <v>1</v>
      </c>
      <c r="N163" s="24" t="s">
        <v>465</v>
      </c>
      <c r="O163" s="15">
        <f>VLOOKUP(N163,Select!D:H,5,FALSE)</f>
        <v>6</v>
      </c>
    </row>
    <row r="164" spans="1:15">
      <c r="A164" s="23">
        <v>101345</v>
      </c>
      <c r="B164" s="1" t="s">
        <v>22</v>
      </c>
      <c r="C164" s="6">
        <f>VLOOKUP(B164,Select!A:H,8,FALSE)</f>
        <v>3</v>
      </c>
      <c r="D164" s="1" t="s">
        <v>21</v>
      </c>
      <c r="E164" s="6">
        <f>VLOOKUP(D164,Select!B:H,7,FALSE)</f>
        <v>2</v>
      </c>
      <c r="F164" s="1" t="s">
        <v>23</v>
      </c>
      <c r="G164" s="6">
        <f>VLOOKUP(F164,Select!C:H,6,FALSE)</f>
        <v>1</v>
      </c>
      <c r="H164" s="24" t="s">
        <v>753</v>
      </c>
      <c r="I164" s="24">
        <v>6</v>
      </c>
      <c r="J164" s="24"/>
      <c r="K164" s="24"/>
      <c r="L164" s="24"/>
      <c r="M164" s="24" t="b">
        <v>1</v>
      </c>
      <c r="N164" s="24" t="s">
        <v>477</v>
      </c>
      <c r="O164" s="15">
        <f>VLOOKUP(N164,Select!D:H,5,FALSE)</f>
        <v>0</v>
      </c>
    </row>
    <row r="165" spans="1:15">
      <c r="A165" s="23">
        <v>101346</v>
      </c>
      <c r="B165" s="5" t="s">
        <v>22</v>
      </c>
      <c r="C165" s="6">
        <f>VLOOKUP(B165,Select!A:H,8,FALSE)</f>
        <v>3</v>
      </c>
      <c r="D165" s="5" t="s">
        <v>21</v>
      </c>
      <c r="E165" s="6">
        <f>VLOOKUP(D165,Select!B:H,7,FALSE)</f>
        <v>2</v>
      </c>
      <c r="F165" s="5" t="s">
        <v>23</v>
      </c>
      <c r="G165" s="6">
        <f>VLOOKUP(F165,Select!C:H,6,FALSE)</f>
        <v>1</v>
      </c>
      <c r="H165" s="24" t="s">
        <v>754</v>
      </c>
      <c r="I165" s="24">
        <v>9</v>
      </c>
      <c r="J165" s="24"/>
      <c r="K165" s="24"/>
      <c r="L165" s="24"/>
      <c r="M165" s="24" t="b">
        <v>1</v>
      </c>
      <c r="N165" s="24" t="s">
        <v>477</v>
      </c>
      <c r="O165" s="15">
        <f>VLOOKUP(N165,Select!D:H,5,FALSE)</f>
        <v>0</v>
      </c>
    </row>
    <row r="166" spans="1:15">
      <c r="A166" s="23">
        <v>101400</v>
      </c>
      <c r="B166" s="1" t="s">
        <v>26</v>
      </c>
      <c r="C166" s="6">
        <f>VLOOKUP(B166,Select!A:H,8,FALSE)</f>
        <v>4</v>
      </c>
      <c r="D166" s="1" t="s">
        <v>10</v>
      </c>
      <c r="E166" s="6">
        <f>VLOOKUP(D166,Select!B:H,7,FALSE)</f>
        <v>0</v>
      </c>
      <c r="F166" s="1" t="s">
        <v>3</v>
      </c>
      <c r="G166" s="6">
        <f>VLOOKUP(F166,Select!C:H,6,FALSE)</f>
        <v>0</v>
      </c>
      <c r="H166" s="24" t="s">
        <v>755</v>
      </c>
      <c r="I166" s="24">
        <v>1</v>
      </c>
      <c r="J166" s="24">
        <v>1</v>
      </c>
      <c r="K166" s="24">
        <v>2</v>
      </c>
      <c r="L166" s="24"/>
      <c r="M166" s="24" t="b">
        <v>0</v>
      </c>
      <c r="N166" s="24" t="s">
        <v>477</v>
      </c>
      <c r="O166" s="15">
        <f>VLOOKUP(N166,Select!D:H,5,FALSE)</f>
        <v>0</v>
      </c>
    </row>
    <row r="167" spans="1:15">
      <c r="A167" s="23">
        <v>101401</v>
      </c>
      <c r="B167" s="5" t="s">
        <v>26</v>
      </c>
      <c r="C167" s="6">
        <f>VLOOKUP(B167,Select!A:H,8,FALSE)</f>
        <v>4</v>
      </c>
      <c r="D167" s="5" t="s">
        <v>10</v>
      </c>
      <c r="E167" s="6">
        <f>VLOOKUP(D167,Select!B:H,7,FALSE)</f>
        <v>0</v>
      </c>
      <c r="F167" s="5" t="s">
        <v>3</v>
      </c>
      <c r="G167" s="6">
        <f>VLOOKUP(F167,Select!C:H,6,FALSE)</f>
        <v>0</v>
      </c>
      <c r="H167" s="24" t="s">
        <v>756</v>
      </c>
      <c r="I167" s="24">
        <v>2</v>
      </c>
      <c r="J167" s="24">
        <v>2</v>
      </c>
      <c r="K167" s="24">
        <v>1</v>
      </c>
      <c r="L167" s="24"/>
      <c r="M167" s="24" t="b">
        <v>0</v>
      </c>
      <c r="N167" s="24" t="s">
        <v>477</v>
      </c>
      <c r="O167" s="15">
        <f>VLOOKUP(N167,Select!D:H,5,FALSE)</f>
        <v>0</v>
      </c>
    </row>
    <row r="168" spans="1:15">
      <c r="A168" s="23">
        <v>101402</v>
      </c>
      <c r="B168" s="1" t="s">
        <v>26</v>
      </c>
      <c r="C168" s="6">
        <f>VLOOKUP(B168,Select!A:H,8,FALSE)</f>
        <v>4</v>
      </c>
      <c r="D168" s="1" t="s">
        <v>10</v>
      </c>
      <c r="E168" s="6">
        <f>VLOOKUP(D168,Select!B:H,7,FALSE)</f>
        <v>0</v>
      </c>
      <c r="F168" s="1" t="s">
        <v>3</v>
      </c>
      <c r="G168" s="6">
        <f>VLOOKUP(F168,Select!C:H,6,FALSE)</f>
        <v>0</v>
      </c>
      <c r="H168" s="24" t="s">
        <v>757</v>
      </c>
      <c r="I168" s="24">
        <v>2</v>
      </c>
      <c r="J168" s="24">
        <v>1</v>
      </c>
      <c r="K168" s="24">
        <v>4</v>
      </c>
      <c r="L168" s="24"/>
      <c r="M168" s="24" t="b">
        <v>0</v>
      </c>
      <c r="N168" s="24" t="s">
        <v>477</v>
      </c>
      <c r="O168" s="15">
        <f>VLOOKUP(N168,Select!D:H,5,FALSE)</f>
        <v>0</v>
      </c>
    </row>
    <row r="169" spans="1:15">
      <c r="A169" s="23">
        <v>101403</v>
      </c>
      <c r="B169" s="5" t="s">
        <v>26</v>
      </c>
      <c r="C169" s="6">
        <f>VLOOKUP(B169,Select!A:H,8,FALSE)</f>
        <v>4</v>
      </c>
      <c r="D169" s="5" t="s">
        <v>10</v>
      </c>
      <c r="E169" s="6">
        <f>VLOOKUP(D169,Select!B:H,7,FALSE)</f>
        <v>0</v>
      </c>
      <c r="F169" s="5" t="s">
        <v>3</v>
      </c>
      <c r="G169" s="6">
        <f>VLOOKUP(F169,Select!C:H,6,FALSE)</f>
        <v>0</v>
      </c>
      <c r="H169" s="24" t="s">
        <v>758</v>
      </c>
      <c r="I169" s="24">
        <v>2</v>
      </c>
      <c r="J169" s="24">
        <v>2</v>
      </c>
      <c r="K169" s="24">
        <v>1</v>
      </c>
      <c r="L169" s="24"/>
      <c r="M169" s="24" t="b">
        <v>0</v>
      </c>
      <c r="N169" s="24" t="s">
        <v>477</v>
      </c>
      <c r="O169" s="15">
        <f>VLOOKUP(N169,Select!D:H,5,FALSE)</f>
        <v>0</v>
      </c>
    </row>
    <row r="170" spans="1:15">
      <c r="A170" s="23">
        <v>101404</v>
      </c>
      <c r="B170" s="1" t="s">
        <v>26</v>
      </c>
      <c r="C170" s="6">
        <f>VLOOKUP(B170,Select!A:H,8,FALSE)</f>
        <v>4</v>
      </c>
      <c r="D170" s="1" t="s">
        <v>10</v>
      </c>
      <c r="E170" s="6">
        <f>VLOOKUP(D170,Select!B:H,7,FALSE)</f>
        <v>0</v>
      </c>
      <c r="F170" s="1" t="s">
        <v>3</v>
      </c>
      <c r="G170" s="6">
        <f>VLOOKUP(F170,Select!C:H,6,FALSE)</f>
        <v>0</v>
      </c>
      <c r="H170" s="24" t="s">
        <v>759</v>
      </c>
      <c r="I170" s="24">
        <v>3</v>
      </c>
      <c r="J170" s="24">
        <v>2</v>
      </c>
      <c r="K170" s="24">
        <v>2</v>
      </c>
      <c r="L170" s="24"/>
      <c r="M170" s="24" t="b">
        <v>0</v>
      </c>
      <c r="N170" s="24" t="s">
        <v>477</v>
      </c>
      <c r="O170" s="15">
        <f>VLOOKUP(N170,Select!D:H,5,FALSE)</f>
        <v>0</v>
      </c>
    </row>
    <row r="171" spans="1:15">
      <c r="A171" s="23">
        <v>101405</v>
      </c>
      <c r="B171" s="5" t="s">
        <v>26</v>
      </c>
      <c r="C171" s="6">
        <f>VLOOKUP(B171,Select!A:H,8,FALSE)</f>
        <v>4</v>
      </c>
      <c r="D171" s="5" t="s">
        <v>10</v>
      </c>
      <c r="E171" s="6">
        <f>VLOOKUP(D171,Select!B:H,7,FALSE)</f>
        <v>0</v>
      </c>
      <c r="F171" s="5" t="s">
        <v>3</v>
      </c>
      <c r="G171" s="6">
        <f>VLOOKUP(F171,Select!C:H,6,FALSE)</f>
        <v>0</v>
      </c>
      <c r="H171" s="24" t="s">
        <v>760</v>
      </c>
      <c r="I171" s="24">
        <v>3</v>
      </c>
      <c r="J171" s="24">
        <v>1</v>
      </c>
      <c r="K171" s="24">
        <v>4</v>
      </c>
      <c r="L171" s="24"/>
      <c r="M171" s="24" t="b">
        <v>0</v>
      </c>
      <c r="N171" s="24" t="s">
        <v>477</v>
      </c>
      <c r="O171" s="15">
        <f>VLOOKUP(N171,Select!D:H,5,FALSE)</f>
        <v>0</v>
      </c>
    </row>
    <row r="172" spans="1:15">
      <c r="A172" s="23">
        <v>101406</v>
      </c>
      <c r="B172" s="1" t="s">
        <v>26</v>
      </c>
      <c r="C172" s="6">
        <f>VLOOKUP(B172,Select!A:H,8,FALSE)</f>
        <v>4</v>
      </c>
      <c r="D172" s="1" t="s">
        <v>10</v>
      </c>
      <c r="E172" s="6">
        <f>VLOOKUP(D172,Select!B:H,7,FALSE)</f>
        <v>0</v>
      </c>
      <c r="F172" s="1" t="s">
        <v>3</v>
      </c>
      <c r="G172" s="6">
        <f>VLOOKUP(F172,Select!C:H,6,FALSE)</f>
        <v>0</v>
      </c>
      <c r="H172" s="24" t="s">
        <v>761</v>
      </c>
      <c r="I172" s="24">
        <v>3</v>
      </c>
      <c r="J172" s="24">
        <v>2</v>
      </c>
      <c r="K172" s="24">
        <v>2</v>
      </c>
      <c r="L172" s="24"/>
      <c r="M172" s="24" t="b">
        <v>0</v>
      </c>
      <c r="N172" s="24" t="s">
        <v>477</v>
      </c>
      <c r="O172" s="15">
        <f>VLOOKUP(N172,Select!D:H,5,FALSE)</f>
        <v>0</v>
      </c>
    </row>
    <row r="173" spans="1:15">
      <c r="A173" s="23">
        <v>101407</v>
      </c>
      <c r="B173" s="5" t="s">
        <v>26</v>
      </c>
      <c r="C173" s="6">
        <f>VLOOKUP(B173,Select!A:H,8,FALSE)</f>
        <v>4</v>
      </c>
      <c r="D173" s="5" t="s">
        <v>10</v>
      </c>
      <c r="E173" s="6">
        <f>VLOOKUP(D173,Select!B:H,7,FALSE)</f>
        <v>0</v>
      </c>
      <c r="F173" s="5" t="s">
        <v>3</v>
      </c>
      <c r="G173" s="6">
        <f>VLOOKUP(F173,Select!C:H,6,FALSE)</f>
        <v>0</v>
      </c>
      <c r="H173" s="24" t="s">
        <v>762</v>
      </c>
      <c r="I173" s="24">
        <v>3</v>
      </c>
      <c r="J173" s="24">
        <v>2</v>
      </c>
      <c r="K173" s="24">
        <v>2</v>
      </c>
      <c r="L173" s="24"/>
      <c r="M173" s="24" t="b">
        <v>0</v>
      </c>
      <c r="N173" s="24" t="s">
        <v>477</v>
      </c>
      <c r="O173" s="15">
        <f>VLOOKUP(N173,Select!D:H,5,FALSE)</f>
        <v>0</v>
      </c>
    </row>
    <row r="174" spans="1:15">
      <c r="A174" s="23">
        <v>101408</v>
      </c>
      <c r="B174" s="1" t="s">
        <v>26</v>
      </c>
      <c r="C174" s="6">
        <f>VLOOKUP(B174,Select!A:H,8,FALSE)</f>
        <v>4</v>
      </c>
      <c r="D174" s="1" t="s">
        <v>10</v>
      </c>
      <c r="E174" s="6">
        <f>VLOOKUP(D174,Select!B:H,7,FALSE)</f>
        <v>0</v>
      </c>
      <c r="F174" s="1" t="s">
        <v>3</v>
      </c>
      <c r="G174" s="6">
        <f>VLOOKUP(F174,Select!C:H,6,FALSE)</f>
        <v>0</v>
      </c>
      <c r="H174" s="24" t="s">
        <v>763</v>
      </c>
      <c r="I174" s="24">
        <v>4</v>
      </c>
      <c r="J174" s="24">
        <v>4</v>
      </c>
      <c r="K174" s="24">
        <v>2</v>
      </c>
      <c r="L174" s="24"/>
      <c r="M174" s="24" t="b">
        <v>0</v>
      </c>
      <c r="N174" s="24" t="s">
        <v>477</v>
      </c>
      <c r="O174" s="15">
        <f>VLOOKUP(N174,Select!D:H,5,FALSE)</f>
        <v>0</v>
      </c>
    </row>
    <row r="175" spans="1:15">
      <c r="A175" s="23">
        <v>101409</v>
      </c>
      <c r="B175" s="5" t="s">
        <v>26</v>
      </c>
      <c r="C175" s="6">
        <f>VLOOKUP(B175,Select!A:H,8,FALSE)</f>
        <v>4</v>
      </c>
      <c r="D175" s="5" t="s">
        <v>10</v>
      </c>
      <c r="E175" s="6">
        <f>VLOOKUP(D175,Select!B:H,7,FALSE)</f>
        <v>0</v>
      </c>
      <c r="F175" s="5" t="s">
        <v>3</v>
      </c>
      <c r="G175" s="6">
        <f>VLOOKUP(F175,Select!C:H,6,FALSE)</f>
        <v>0</v>
      </c>
      <c r="H175" s="24" t="s">
        <v>764</v>
      </c>
      <c r="I175" s="24">
        <v>5</v>
      </c>
      <c r="J175" s="24">
        <v>4</v>
      </c>
      <c r="K175" s="24">
        <v>4</v>
      </c>
      <c r="L175" s="24"/>
      <c r="M175" s="24" t="b">
        <v>0</v>
      </c>
      <c r="N175" s="24" t="s">
        <v>477</v>
      </c>
      <c r="O175" s="15">
        <f>VLOOKUP(N175,Select!D:H,5,FALSE)</f>
        <v>0</v>
      </c>
    </row>
    <row r="176" spans="1:15">
      <c r="A176" s="23">
        <v>101410</v>
      </c>
      <c r="B176" s="1" t="s">
        <v>26</v>
      </c>
      <c r="C176" s="6">
        <f>VLOOKUP(B176,Select!A:H,8,FALSE)</f>
        <v>4</v>
      </c>
      <c r="D176" s="1" t="s">
        <v>10</v>
      </c>
      <c r="E176" s="6">
        <f>VLOOKUP(D176,Select!B:H,7,FALSE)</f>
        <v>0</v>
      </c>
      <c r="F176" s="1" t="s">
        <v>3</v>
      </c>
      <c r="G176" s="6">
        <f>VLOOKUP(F176,Select!C:H,6,FALSE)</f>
        <v>0</v>
      </c>
      <c r="H176" s="24" t="s">
        <v>765</v>
      </c>
      <c r="I176" s="24">
        <v>7</v>
      </c>
      <c r="J176" s="24">
        <v>4</v>
      </c>
      <c r="K176" s="24">
        <v>7</v>
      </c>
      <c r="L176" s="24"/>
      <c r="M176" s="24" t="b">
        <v>0</v>
      </c>
      <c r="N176" s="24" t="s">
        <v>477</v>
      </c>
      <c r="O176" s="15">
        <f>VLOOKUP(N176,Select!D:H,5,FALSE)</f>
        <v>0</v>
      </c>
    </row>
    <row r="177" spans="1:15">
      <c r="A177" s="23">
        <v>101411</v>
      </c>
      <c r="B177" s="5" t="s">
        <v>26</v>
      </c>
      <c r="C177" s="6">
        <f>VLOOKUP(B177,Select!A:H,8,FALSE)</f>
        <v>4</v>
      </c>
      <c r="D177" s="5" t="s">
        <v>10</v>
      </c>
      <c r="E177" s="6">
        <f>VLOOKUP(D177,Select!B:H,7,FALSE)</f>
        <v>0</v>
      </c>
      <c r="F177" s="5" t="s">
        <v>3</v>
      </c>
      <c r="G177" s="6">
        <f>VLOOKUP(F177,Select!C:H,6,FALSE)</f>
        <v>0</v>
      </c>
      <c r="H177" s="24" t="s">
        <v>766</v>
      </c>
      <c r="I177" s="24">
        <v>7</v>
      </c>
      <c r="J177" s="24">
        <v>5</v>
      </c>
      <c r="K177" s="24">
        <v>5</v>
      </c>
      <c r="L177" s="24"/>
      <c r="M177" s="24" t="b">
        <v>0</v>
      </c>
      <c r="N177" s="24" t="s">
        <v>477</v>
      </c>
      <c r="O177" s="15">
        <f>VLOOKUP(N177,Select!D:H,5,FALSE)</f>
        <v>0</v>
      </c>
    </row>
    <row r="178" spans="1:15">
      <c r="A178" s="23">
        <v>101412</v>
      </c>
      <c r="B178" s="1" t="s">
        <v>26</v>
      </c>
      <c r="C178" s="6">
        <f>VLOOKUP(B178,Select!A:H,8,FALSE)</f>
        <v>4</v>
      </c>
      <c r="D178" s="1" t="s">
        <v>10</v>
      </c>
      <c r="E178" s="6">
        <f>VLOOKUP(D178,Select!B:H,7,FALSE)</f>
        <v>0</v>
      </c>
      <c r="F178" s="1" t="s">
        <v>3</v>
      </c>
      <c r="G178" s="6">
        <f>VLOOKUP(F178,Select!C:H,6,FALSE)</f>
        <v>0</v>
      </c>
      <c r="H178" s="24" t="s">
        <v>767</v>
      </c>
      <c r="I178" s="24">
        <v>8</v>
      </c>
      <c r="J178" s="24">
        <v>8</v>
      </c>
      <c r="K178" s="24">
        <v>8</v>
      </c>
      <c r="L178" s="24"/>
      <c r="M178" s="24" t="b">
        <v>0</v>
      </c>
      <c r="N178" s="24" t="s">
        <v>477</v>
      </c>
      <c r="O178" s="15">
        <f>VLOOKUP(N178,Select!D:H,5,FALSE)</f>
        <v>0</v>
      </c>
    </row>
    <row r="179" spans="1:15">
      <c r="A179" s="23">
        <v>101413</v>
      </c>
      <c r="B179" s="5" t="s">
        <v>26</v>
      </c>
      <c r="C179" s="6">
        <f>VLOOKUP(B179,Select!A:H,8,FALSE)</f>
        <v>4</v>
      </c>
      <c r="D179" s="5" t="s">
        <v>10</v>
      </c>
      <c r="E179" s="6">
        <f>VLOOKUP(D179,Select!B:H,7,FALSE)</f>
        <v>0</v>
      </c>
      <c r="F179" s="5" t="s">
        <v>23</v>
      </c>
      <c r="G179" s="6">
        <f>VLOOKUP(F179,Select!C:H,6,FALSE)</f>
        <v>1</v>
      </c>
      <c r="H179" s="24" t="s">
        <v>768</v>
      </c>
      <c r="I179" s="24">
        <v>2</v>
      </c>
      <c r="J179" s="24"/>
      <c r="K179" s="24"/>
      <c r="L179" s="24"/>
      <c r="M179" s="24" t="b">
        <v>0</v>
      </c>
      <c r="N179" s="24" t="s">
        <v>477</v>
      </c>
      <c r="O179" s="15">
        <f>VLOOKUP(N179,Select!D:H,5,FALSE)</f>
        <v>0</v>
      </c>
    </row>
    <row r="180" spans="1:15">
      <c r="A180" s="23">
        <v>101414</v>
      </c>
      <c r="B180" s="1" t="s">
        <v>26</v>
      </c>
      <c r="C180" s="6">
        <f>VLOOKUP(B180,Select!A:H,8,FALSE)</f>
        <v>4</v>
      </c>
      <c r="D180" s="1" t="s">
        <v>10</v>
      </c>
      <c r="E180" s="6">
        <f>VLOOKUP(D180,Select!B:H,7,FALSE)</f>
        <v>0</v>
      </c>
      <c r="F180" s="1" t="s">
        <v>23</v>
      </c>
      <c r="G180" s="6">
        <f>VLOOKUP(F180,Select!C:H,6,FALSE)</f>
        <v>1</v>
      </c>
      <c r="H180" s="24" t="s">
        <v>769</v>
      </c>
      <c r="I180" s="24">
        <v>2</v>
      </c>
      <c r="J180" s="24"/>
      <c r="K180" s="24"/>
      <c r="L180" s="24"/>
      <c r="M180" s="24" t="b">
        <v>0</v>
      </c>
      <c r="N180" s="24" t="s">
        <v>477</v>
      </c>
      <c r="O180" s="15">
        <f>VLOOKUP(N180,Select!D:H,5,FALSE)</f>
        <v>0</v>
      </c>
    </row>
    <row r="181" spans="1:15">
      <c r="A181" s="23">
        <v>101415</v>
      </c>
      <c r="B181" s="5" t="s">
        <v>26</v>
      </c>
      <c r="C181" s="6">
        <f>VLOOKUP(B181,Select!A:H,8,FALSE)</f>
        <v>4</v>
      </c>
      <c r="D181" s="5" t="s">
        <v>10</v>
      </c>
      <c r="E181" s="6">
        <f>VLOOKUP(D181,Select!B:H,7,FALSE)</f>
        <v>0</v>
      </c>
      <c r="F181" s="5" t="s">
        <v>23</v>
      </c>
      <c r="G181" s="6">
        <f>VLOOKUP(F181,Select!C:H,6,FALSE)</f>
        <v>1</v>
      </c>
      <c r="H181" s="24" t="s">
        <v>770</v>
      </c>
      <c r="I181" s="24">
        <v>3</v>
      </c>
      <c r="J181" s="24"/>
      <c r="K181" s="24"/>
      <c r="L181" s="24"/>
      <c r="M181" s="24" t="b">
        <v>0</v>
      </c>
      <c r="N181" s="24" t="s">
        <v>477</v>
      </c>
      <c r="O181" s="15">
        <f>VLOOKUP(N181,Select!D:H,5,FALSE)</f>
        <v>0</v>
      </c>
    </row>
    <row r="182" spans="1:15">
      <c r="A182" s="23">
        <v>101416</v>
      </c>
      <c r="B182" s="1" t="s">
        <v>26</v>
      </c>
      <c r="C182" s="6">
        <f>VLOOKUP(B182,Select!A:H,8,FALSE)</f>
        <v>4</v>
      </c>
      <c r="D182" s="1" t="s">
        <v>10</v>
      </c>
      <c r="E182" s="6">
        <f>VLOOKUP(D182,Select!B:H,7,FALSE)</f>
        <v>0</v>
      </c>
      <c r="F182" s="1" t="s">
        <v>23</v>
      </c>
      <c r="G182" s="6">
        <f>VLOOKUP(F182,Select!C:H,6,FALSE)</f>
        <v>1</v>
      </c>
      <c r="H182" s="24" t="s">
        <v>771</v>
      </c>
      <c r="I182" s="24">
        <v>4</v>
      </c>
      <c r="J182" s="24"/>
      <c r="K182" s="24"/>
      <c r="L182" s="24"/>
      <c r="M182" s="24" t="b">
        <v>0</v>
      </c>
      <c r="N182" s="24" t="s">
        <v>477</v>
      </c>
      <c r="O182" s="15">
        <f>VLOOKUP(N182,Select!D:H,5,FALSE)</f>
        <v>0</v>
      </c>
    </row>
    <row r="183" spans="1:15">
      <c r="A183" s="23">
        <v>101417</v>
      </c>
      <c r="B183" s="5" t="s">
        <v>26</v>
      </c>
      <c r="C183" s="6">
        <f>VLOOKUP(B183,Select!A:H,8,FALSE)</f>
        <v>4</v>
      </c>
      <c r="D183" s="5" t="s">
        <v>36</v>
      </c>
      <c r="E183" s="6">
        <f>VLOOKUP(D183,Select!B:H,7,FALSE)</f>
        <v>1</v>
      </c>
      <c r="F183" s="5" t="s">
        <v>3</v>
      </c>
      <c r="G183" s="6">
        <f>VLOOKUP(F183,Select!C:H,6,FALSE)</f>
        <v>0</v>
      </c>
      <c r="H183" s="24" t="s">
        <v>772</v>
      </c>
      <c r="I183" s="24">
        <v>3</v>
      </c>
      <c r="J183" s="24">
        <v>2</v>
      </c>
      <c r="K183" s="24">
        <v>2</v>
      </c>
      <c r="L183" s="24"/>
      <c r="M183" s="24" t="b">
        <v>0</v>
      </c>
      <c r="N183" s="24" t="s">
        <v>477</v>
      </c>
      <c r="O183" s="15">
        <f>VLOOKUP(N183,Select!D:H,5,FALSE)</f>
        <v>0</v>
      </c>
    </row>
    <row r="184" spans="1:15">
      <c r="A184" s="23">
        <v>101418</v>
      </c>
      <c r="B184" s="1" t="s">
        <v>26</v>
      </c>
      <c r="C184" s="6">
        <f>VLOOKUP(B184,Select!A:H,8,FALSE)</f>
        <v>4</v>
      </c>
      <c r="D184" s="1" t="s">
        <v>36</v>
      </c>
      <c r="E184" s="6">
        <f>VLOOKUP(D184,Select!B:H,7,FALSE)</f>
        <v>1</v>
      </c>
      <c r="F184" s="1" t="s">
        <v>3</v>
      </c>
      <c r="G184" s="6">
        <f>VLOOKUP(F184,Select!C:H,6,FALSE)</f>
        <v>0</v>
      </c>
      <c r="H184" s="24" t="s">
        <v>773</v>
      </c>
      <c r="I184" s="24">
        <v>3</v>
      </c>
      <c r="J184" s="24">
        <v>2</v>
      </c>
      <c r="K184" s="24">
        <v>3</v>
      </c>
      <c r="L184" s="24"/>
      <c r="M184" s="24" t="b">
        <v>0</v>
      </c>
      <c r="N184" s="24" t="s">
        <v>477</v>
      </c>
      <c r="O184" s="15">
        <f>VLOOKUP(N184,Select!D:H,5,FALSE)</f>
        <v>0</v>
      </c>
    </row>
    <row r="185" spans="1:15">
      <c r="A185" s="23">
        <v>101419</v>
      </c>
      <c r="B185" s="5" t="s">
        <v>26</v>
      </c>
      <c r="C185" s="6">
        <f>VLOOKUP(B185,Select!A:H,8,FALSE)</f>
        <v>4</v>
      </c>
      <c r="D185" s="5" t="s">
        <v>36</v>
      </c>
      <c r="E185" s="6">
        <f>VLOOKUP(D185,Select!B:H,7,FALSE)</f>
        <v>1</v>
      </c>
      <c r="F185" s="5" t="s">
        <v>3</v>
      </c>
      <c r="G185" s="6">
        <f>VLOOKUP(F185,Select!C:H,6,FALSE)</f>
        <v>0</v>
      </c>
      <c r="H185" s="24" t="s">
        <v>774</v>
      </c>
      <c r="I185" s="24">
        <v>3</v>
      </c>
      <c r="J185" s="24">
        <v>4</v>
      </c>
      <c r="K185" s="24">
        <v>3</v>
      </c>
      <c r="L185" s="24"/>
      <c r="M185" s="24" t="b">
        <v>0</v>
      </c>
      <c r="N185" s="24" t="s">
        <v>477</v>
      </c>
      <c r="O185" s="15">
        <f>VLOOKUP(N185,Select!D:H,5,FALSE)</f>
        <v>0</v>
      </c>
    </row>
    <row r="186" spans="1:15">
      <c r="A186" s="23">
        <v>101420</v>
      </c>
      <c r="B186" s="1" t="s">
        <v>26</v>
      </c>
      <c r="C186" s="6">
        <f>VLOOKUP(B186,Select!A:H,8,FALSE)</f>
        <v>4</v>
      </c>
      <c r="D186" s="1" t="s">
        <v>36</v>
      </c>
      <c r="E186" s="6">
        <f>VLOOKUP(D186,Select!B:H,7,FALSE)</f>
        <v>1</v>
      </c>
      <c r="F186" s="1" t="s">
        <v>3</v>
      </c>
      <c r="G186" s="6">
        <f>VLOOKUP(F186,Select!C:H,6,FALSE)</f>
        <v>0</v>
      </c>
      <c r="H186" s="24" t="s">
        <v>775</v>
      </c>
      <c r="I186" s="24">
        <v>3</v>
      </c>
      <c r="J186" s="24">
        <v>0</v>
      </c>
      <c r="K186" s="24">
        <v>3</v>
      </c>
      <c r="L186" s="24"/>
      <c r="M186" s="24" t="b">
        <v>0</v>
      </c>
      <c r="N186" s="24" t="s">
        <v>477</v>
      </c>
      <c r="O186" s="15">
        <f>VLOOKUP(N186,Select!D:H,5,FALSE)</f>
        <v>0</v>
      </c>
    </row>
    <row r="187" spans="1:15">
      <c r="A187" s="23">
        <v>101421</v>
      </c>
      <c r="B187" s="5" t="s">
        <v>26</v>
      </c>
      <c r="C187" s="6">
        <f>VLOOKUP(B187,Select!A:H,8,FALSE)</f>
        <v>4</v>
      </c>
      <c r="D187" s="5" t="s">
        <v>36</v>
      </c>
      <c r="E187" s="6">
        <f>VLOOKUP(D187,Select!B:H,7,FALSE)</f>
        <v>1</v>
      </c>
      <c r="F187" s="5" t="s">
        <v>3</v>
      </c>
      <c r="G187" s="6">
        <f>VLOOKUP(F187,Select!C:H,6,FALSE)</f>
        <v>0</v>
      </c>
      <c r="H187" s="24" t="s">
        <v>776</v>
      </c>
      <c r="I187" s="24">
        <v>4</v>
      </c>
      <c r="J187" s="24">
        <v>3</v>
      </c>
      <c r="K187" s="24">
        <v>4</v>
      </c>
      <c r="L187" s="24"/>
      <c r="M187" s="24" t="b">
        <v>0</v>
      </c>
      <c r="N187" s="24" t="s">
        <v>477</v>
      </c>
      <c r="O187" s="15">
        <f>VLOOKUP(N187,Select!D:H,5,FALSE)</f>
        <v>0</v>
      </c>
    </row>
    <row r="188" spans="1:15">
      <c r="A188" s="23">
        <v>101422</v>
      </c>
      <c r="B188" s="1" t="s">
        <v>26</v>
      </c>
      <c r="C188" s="6">
        <f>VLOOKUP(B188,Select!A:H,8,FALSE)</f>
        <v>4</v>
      </c>
      <c r="D188" s="1" t="s">
        <v>36</v>
      </c>
      <c r="E188" s="6">
        <f>VLOOKUP(D188,Select!B:H,7,FALSE)</f>
        <v>1</v>
      </c>
      <c r="F188" s="1" t="s">
        <v>3</v>
      </c>
      <c r="G188" s="6">
        <f>VLOOKUP(F188,Select!C:H,6,FALSE)</f>
        <v>0</v>
      </c>
      <c r="H188" s="24" t="s">
        <v>777</v>
      </c>
      <c r="I188" s="24">
        <v>4</v>
      </c>
      <c r="J188" s="24">
        <v>6</v>
      </c>
      <c r="K188" s="24">
        <v>5</v>
      </c>
      <c r="L188" s="24"/>
      <c r="M188" s="24" t="b">
        <v>0</v>
      </c>
      <c r="N188" s="24" t="s">
        <v>477</v>
      </c>
      <c r="O188" s="15">
        <f>VLOOKUP(N188,Select!D:H,5,FALSE)</f>
        <v>0</v>
      </c>
    </row>
    <row r="189" spans="1:15">
      <c r="A189" s="23">
        <v>101423</v>
      </c>
      <c r="B189" s="5" t="s">
        <v>26</v>
      </c>
      <c r="C189" s="6">
        <f>VLOOKUP(B189,Select!A:H,8,FALSE)</f>
        <v>4</v>
      </c>
      <c r="D189" s="5" t="s">
        <v>36</v>
      </c>
      <c r="E189" s="6">
        <f>VLOOKUP(D189,Select!B:H,7,FALSE)</f>
        <v>1</v>
      </c>
      <c r="F189" s="5" t="s">
        <v>3</v>
      </c>
      <c r="G189" s="6">
        <f>VLOOKUP(F189,Select!C:H,6,FALSE)</f>
        <v>0</v>
      </c>
      <c r="H189" s="24" t="s">
        <v>778</v>
      </c>
      <c r="I189" s="24">
        <v>5</v>
      </c>
      <c r="J189" s="24">
        <v>6</v>
      </c>
      <c r="K189" s="24">
        <v>6</v>
      </c>
      <c r="L189" s="24"/>
      <c r="M189" s="24" t="b">
        <v>0</v>
      </c>
      <c r="N189" s="24" t="s">
        <v>477</v>
      </c>
      <c r="O189" s="15">
        <f>VLOOKUP(N189,Select!D:H,5,FALSE)</f>
        <v>0</v>
      </c>
    </row>
    <row r="190" spans="1:15">
      <c r="A190" s="23">
        <v>101424</v>
      </c>
      <c r="B190" s="1" t="s">
        <v>26</v>
      </c>
      <c r="C190" s="6">
        <f>VLOOKUP(B190,Select!A:H,8,FALSE)</f>
        <v>4</v>
      </c>
      <c r="D190" s="1" t="s">
        <v>36</v>
      </c>
      <c r="E190" s="6">
        <f>VLOOKUP(D190,Select!B:H,7,FALSE)</f>
        <v>1</v>
      </c>
      <c r="F190" s="1" t="s">
        <v>3</v>
      </c>
      <c r="G190" s="6">
        <f>VLOOKUP(F190,Select!C:H,6,FALSE)</f>
        <v>0</v>
      </c>
      <c r="H190" s="24" t="s">
        <v>779</v>
      </c>
      <c r="I190" s="24">
        <v>6</v>
      </c>
      <c r="J190" s="24">
        <v>5</v>
      </c>
      <c r="K190" s="24">
        <v>3</v>
      </c>
      <c r="L190" s="24"/>
      <c r="M190" s="24" t="b">
        <v>0</v>
      </c>
      <c r="N190" s="24" t="s">
        <v>477</v>
      </c>
      <c r="O190" s="15">
        <f>VLOOKUP(N190,Select!D:H,5,FALSE)</f>
        <v>0</v>
      </c>
    </row>
    <row r="191" spans="1:15">
      <c r="A191" s="23">
        <v>101425</v>
      </c>
      <c r="B191" s="5" t="s">
        <v>26</v>
      </c>
      <c r="C191" s="6">
        <f>VLOOKUP(B191,Select!A:H,8,FALSE)</f>
        <v>4</v>
      </c>
      <c r="D191" s="5" t="s">
        <v>36</v>
      </c>
      <c r="E191" s="6">
        <f>VLOOKUP(D191,Select!B:H,7,FALSE)</f>
        <v>1</v>
      </c>
      <c r="F191" s="5" t="s">
        <v>3</v>
      </c>
      <c r="G191" s="6">
        <f>VLOOKUP(F191,Select!C:H,6,FALSE)</f>
        <v>0</v>
      </c>
      <c r="H191" s="24" t="s">
        <v>780</v>
      </c>
      <c r="I191" s="24">
        <v>6</v>
      </c>
      <c r="J191" s="24">
        <v>4</v>
      </c>
      <c r="K191" s="24">
        <v>3</v>
      </c>
      <c r="L191" s="24"/>
      <c r="M191" s="24" t="b">
        <v>0</v>
      </c>
      <c r="N191" s="24" t="s">
        <v>477</v>
      </c>
      <c r="O191" s="15">
        <f>VLOOKUP(N191,Select!D:H,5,FALSE)</f>
        <v>0</v>
      </c>
    </row>
    <row r="192" spans="1:15">
      <c r="A192" s="23">
        <v>101426</v>
      </c>
      <c r="B192" s="1" t="s">
        <v>26</v>
      </c>
      <c r="C192" s="6">
        <f>VLOOKUP(B192,Select!A:H,8,FALSE)</f>
        <v>4</v>
      </c>
      <c r="D192" s="1" t="s">
        <v>36</v>
      </c>
      <c r="E192" s="6">
        <f>VLOOKUP(D192,Select!B:H,7,FALSE)</f>
        <v>1</v>
      </c>
      <c r="F192" s="1" t="s">
        <v>3</v>
      </c>
      <c r="G192" s="6">
        <f>VLOOKUP(F192,Select!C:H,6,FALSE)</f>
        <v>0</v>
      </c>
      <c r="H192" s="24" t="s">
        <v>781</v>
      </c>
      <c r="I192" s="24">
        <v>7</v>
      </c>
      <c r="J192" s="24">
        <v>5</v>
      </c>
      <c r="K192" s="24">
        <v>6</v>
      </c>
      <c r="L192" s="24"/>
      <c r="M192" s="24" t="b">
        <v>0</v>
      </c>
      <c r="N192" s="24" t="s">
        <v>477</v>
      </c>
      <c r="O192" s="15">
        <f>VLOOKUP(N192,Select!D:H,5,FALSE)</f>
        <v>0</v>
      </c>
    </row>
    <row r="193" spans="1:15">
      <c r="A193" s="23">
        <v>101427</v>
      </c>
      <c r="B193" s="5" t="s">
        <v>26</v>
      </c>
      <c r="C193" s="6">
        <f>VLOOKUP(B193,Select!A:H,8,FALSE)</f>
        <v>4</v>
      </c>
      <c r="D193" s="5" t="s">
        <v>36</v>
      </c>
      <c r="E193" s="6">
        <f>VLOOKUP(D193,Select!B:H,7,FALSE)</f>
        <v>1</v>
      </c>
      <c r="F193" s="5" t="s">
        <v>23</v>
      </c>
      <c r="G193" s="6">
        <f>VLOOKUP(F193,Select!C:H,6,FALSE)</f>
        <v>1</v>
      </c>
      <c r="H193" s="24" t="s">
        <v>783</v>
      </c>
      <c r="I193" s="24">
        <v>2</v>
      </c>
      <c r="J193" s="24"/>
      <c r="K193" s="24"/>
      <c r="L193" s="24"/>
      <c r="M193" s="24" t="b">
        <v>0</v>
      </c>
      <c r="N193" s="24" t="s">
        <v>477</v>
      </c>
      <c r="O193" s="15">
        <f>VLOOKUP(N193,Select!D:H,5,FALSE)</f>
        <v>0</v>
      </c>
    </row>
    <row r="194" spans="1:15">
      <c r="A194" s="23">
        <v>101428</v>
      </c>
      <c r="B194" s="1" t="s">
        <v>26</v>
      </c>
      <c r="C194" s="6">
        <f>VLOOKUP(B194,Select!A:H,8,FALSE)</f>
        <v>4</v>
      </c>
      <c r="D194" s="1" t="s">
        <v>36</v>
      </c>
      <c r="E194" s="6">
        <f>VLOOKUP(D194,Select!B:H,7,FALSE)</f>
        <v>1</v>
      </c>
      <c r="F194" s="1" t="s">
        <v>23</v>
      </c>
      <c r="G194" s="6">
        <f>VLOOKUP(F194,Select!C:H,6,FALSE)</f>
        <v>1</v>
      </c>
      <c r="H194" s="24" t="s">
        <v>782</v>
      </c>
      <c r="I194" s="24">
        <v>4</v>
      </c>
      <c r="J194" s="24"/>
      <c r="K194" s="24"/>
      <c r="L194" s="24"/>
      <c r="M194" s="24" t="b">
        <v>0</v>
      </c>
      <c r="N194" s="24" t="s">
        <v>477</v>
      </c>
      <c r="O194" s="15">
        <f>VLOOKUP(N194,Select!D:H,5,FALSE)</f>
        <v>0</v>
      </c>
    </row>
    <row r="195" spans="1:15">
      <c r="A195" s="23">
        <v>101429</v>
      </c>
      <c r="B195" s="5" t="s">
        <v>26</v>
      </c>
      <c r="C195" s="6">
        <f>VLOOKUP(B195,Select!A:H,8,FALSE)</f>
        <v>4</v>
      </c>
      <c r="D195" s="5" t="s">
        <v>36</v>
      </c>
      <c r="E195" s="6">
        <f>VLOOKUP(D195,Select!B:H,7,FALSE)</f>
        <v>1</v>
      </c>
      <c r="F195" s="5" t="s">
        <v>34</v>
      </c>
      <c r="G195" s="6">
        <f>VLOOKUP(F195,Select!C:H,6,FALSE)</f>
        <v>2</v>
      </c>
      <c r="H195" s="24" t="s">
        <v>784</v>
      </c>
      <c r="I195" s="24">
        <v>2</v>
      </c>
      <c r="J195" s="24"/>
      <c r="K195" s="24"/>
      <c r="L195" s="24"/>
      <c r="M195" s="24" t="b">
        <v>0</v>
      </c>
      <c r="N195" s="24" t="s">
        <v>477</v>
      </c>
      <c r="O195" s="15">
        <f>VLOOKUP(N195,Select!D:H,5,FALSE)</f>
        <v>0</v>
      </c>
    </row>
    <row r="196" spans="1:15">
      <c r="A196" s="23">
        <v>101430</v>
      </c>
      <c r="B196" s="1" t="s">
        <v>26</v>
      </c>
      <c r="C196" s="6">
        <f>VLOOKUP(B196,Select!A:H,8,FALSE)</f>
        <v>4</v>
      </c>
      <c r="D196" s="1" t="s">
        <v>21</v>
      </c>
      <c r="E196" s="6">
        <f>VLOOKUP(D196,Select!B:H,7,FALSE)</f>
        <v>2</v>
      </c>
      <c r="F196" s="1" t="s">
        <v>3</v>
      </c>
      <c r="G196" s="6">
        <f>VLOOKUP(F196,Select!C:H,6,FALSE)</f>
        <v>0</v>
      </c>
      <c r="H196" s="24" t="s">
        <v>785</v>
      </c>
      <c r="I196" s="24">
        <v>2</v>
      </c>
      <c r="J196" s="24">
        <v>1</v>
      </c>
      <c r="K196" s="24">
        <v>2</v>
      </c>
      <c r="L196" s="24"/>
      <c r="M196" s="24" t="b">
        <v>0</v>
      </c>
      <c r="N196" s="24" t="s">
        <v>477</v>
      </c>
      <c r="O196" s="15">
        <f>VLOOKUP(N196,Select!D:H,5,FALSE)</f>
        <v>0</v>
      </c>
    </row>
    <row r="197" spans="1:15">
      <c r="A197" s="23">
        <v>101431</v>
      </c>
      <c r="B197" s="5" t="s">
        <v>26</v>
      </c>
      <c r="C197" s="6">
        <f>VLOOKUP(B197,Select!A:H,8,FALSE)</f>
        <v>4</v>
      </c>
      <c r="D197" s="5" t="s">
        <v>21</v>
      </c>
      <c r="E197" s="6">
        <f>VLOOKUP(D197,Select!B:H,7,FALSE)</f>
        <v>2</v>
      </c>
      <c r="F197" s="5" t="s">
        <v>3</v>
      </c>
      <c r="G197" s="6">
        <f>VLOOKUP(F197,Select!C:H,6,FALSE)</f>
        <v>0</v>
      </c>
      <c r="H197" s="24" t="s">
        <v>786</v>
      </c>
      <c r="I197" s="24">
        <v>2</v>
      </c>
      <c r="J197" s="24">
        <v>2</v>
      </c>
      <c r="K197" s="24">
        <v>2</v>
      </c>
      <c r="L197" s="24"/>
      <c r="M197" s="24" t="b">
        <v>0</v>
      </c>
      <c r="N197" s="24" t="s">
        <v>477</v>
      </c>
      <c r="O197" s="15">
        <f>VLOOKUP(N197,Select!D:H,5,FALSE)</f>
        <v>0</v>
      </c>
    </row>
    <row r="198" spans="1:15">
      <c r="A198" s="23">
        <v>101432</v>
      </c>
      <c r="B198" s="1" t="s">
        <v>26</v>
      </c>
      <c r="C198" s="6">
        <f>VLOOKUP(B198,Select!A:H,8,FALSE)</f>
        <v>4</v>
      </c>
      <c r="D198" s="1" t="s">
        <v>21</v>
      </c>
      <c r="E198" s="6">
        <f>VLOOKUP(D198,Select!B:H,7,FALSE)</f>
        <v>2</v>
      </c>
      <c r="F198" s="1" t="s">
        <v>3</v>
      </c>
      <c r="G198" s="6">
        <f>VLOOKUP(F198,Select!C:H,6,FALSE)</f>
        <v>0</v>
      </c>
      <c r="H198" s="24" t="s">
        <v>787</v>
      </c>
      <c r="I198" s="24">
        <v>4</v>
      </c>
      <c r="J198" s="24">
        <v>2</v>
      </c>
      <c r="K198" s="24">
        <v>2</v>
      </c>
      <c r="L198" s="24"/>
      <c r="M198" s="24" t="b">
        <v>0</v>
      </c>
      <c r="N198" s="24" t="s">
        <v>477</v>
      </c>
      <c r="O198" s="15">
        <f>VLOOKUP(N198,Select!D:H,5,FALSE)</f>
        <v>0</v>
      </c>
    </row>
    <row r="199" spans="1:15">
      <c r="A199" s="23">
        <v>101433</v>
      </c>
      <c r="B199" s="5" t="s">
        <v>26</v>
      </c>
      <c r="C199" s="6">
        <f>VLOOKUP(B199,Select!A:H,8,FALSE)</f>
        <v>4</v>
      </c>
      <c r="D199" s="5" t="s">
        <v>21</v>
      </c>
      <c r="E199" s="6">
        <f>VLOOKUP(D199,Select!B:H,7,FALSE)</f>
        <v>2</v>
      </c>
      <c r="F199" s="5" t="s">
        <v>3</v>
      </c>
      <c r="G199" s="6">
        <f>VLOOKUP(F199,Select!C:H,6,FALSE)</f>
        <v>0</v>
      </c>
      <c r="H199" s="24" t="s">
        <v>788</v>
      </c>
      <c r="I199" s="24">
        <v>6</v>
      </c>
      <c r="J199" s="24">
        <v>5</v>
      </c>
      <c r="K199" s="24">
        <v>5</v>
      </c>
      <c r="L199" s="24"/>
      <c r="M199" s="24" t="b">
        <v>0</v>
      </c>
      <c r="N199" s="24" t="s">
        <v>477</v>
      </c>
      <c r="O199" s="15">
        <f>VLOOKUP(N199,Select!D:H,5,FALSE)</f>
        <v>0</v>
      </c>
    </row>
    <row r="200" spans="1:15">
      <c r="A200" s="23">
        <v>101434</v>
      </c>
      <c r="B200" s="1" t="s">
        <v>26</v>
      </c>
      <c r="C200" s="6">
        <f>VLOOKUP(B200,Select!A:H,8,FALSE)</f>
        <v>4</v>
      </c>
      <c r="D200" s="1" t="s">
        <v>21</v>
      </c>
      <c r="E200" s="6">
        <f>VLOOKUP(D200,Select!B:H,7,FALSE)</f>
        <v>2</v>
      </c>
      <c r="F200" s="1" t="s">
        <v>3</v>
      </c>
      <c r="G200" s="6">
        <f>VLOOKUP(F200,Select!C:H,6,FALSE)</f>
        <v>0</v>
      </c>
      <c r="H200" s="24" t="s">
        <v>789</v>
      </c>
      <c r="I200" s="24">
        <v>7</v>
      </c>
      <c r="J200" s="24">
        <v>5</v>
      </c>
      <c r="K200" s="24">
        <v>5</v>
      </c>
      <c r="L200" s="24"/>
      <c r="M200" s="24" t="b">
        <v>0</v>
      </c>
      <c r="N200" s="24" t="s">
        <v>477</v>
      </c>
      <c r="O200" s="15">
        <f>VLOOKUP(N200,Select!D:H,5,FALSE)</f>
        <v>0</v>
      </c>
    </row>
    <row r="201" spans="1:15">
      <c r="A201" s="23">
        <v>101435</v>
      </c>
      <c r="B201" s="5" t="s">
        <v>26</v>
      </c>
      <c r="C201" s="6">
        <f>VLOOKUP(B201,Select!A:H,8,FALSE)</f>
        <v>4</v>
      </c>
      <c r="D201" s="5" t="s">
        <v>21</v>
      </c>
      <c r="E201" s="6">
        <f>VLOOKUP(D201,Select!B:H,7,FALSE)</f>
        <v>2</v>
      </c>
      <c r="F201" s="5" t="s">
        <v>3</v>
      </c>
      <c r="G201" s="6">
        <f>VLOOKUP(F201,Select!C:H,6,FALSE)</f>
        <v>0</v>
      </c>
      <c r="H201" s="24" t="s">
        <v>790</v>
      </c>
      <c r="I201" s="24">
        <v>9</v>
      </c>
      <c r="J201" s="24">
        <v>6</v>
      </c>
      <c r="K201" s="24">
        <v>5</v>
      </c>
      <c r="L201" s="24"/>
      <c r="M201" s="24" t="b">
        <v>0</v>
      </c>
      <c r="N201" s="24" t="s">
        <v>477</v>
      </c>
      <c r="O201" s="15">
        <f>VLOOKUP(N201,Select!D:H,5,FALSE)</f>
        <v>0</v>
      </c>
    </row>
    <row r="202" spans="1:15">
      <c r="A202" s="23">
        <v>101436</v>
      </c>
      <c r="B202" s="1" t="s">
        <v>26</v>
      </c>
      <c r="C202" s="6">
        <f>VLOOKUP(B202,Select!A:H,8,FALSE)</f>
        <v>4</v>
      </c>
      <c r="D202" s="1" t="s">
        <v>21</v>
      </c>
      <c r="E202" s="6">
        <f>VLOOKUP(D202,Select!B:H,7,FALSE)</f>
        <v>2</v>
      </c>
      <c r="F202" s="1" t="s">
        <v>3</v>
      </c>
      <c r="G202" s="6">
        <f>VLOOKUP(F202,Select!C:H,6,FALSE)</f>
        <v>0</v>
      </c>
      <c r="H202" s="24" t="s">
        <v>791</v>
      </c>
      <c r="I202" s="24">
        <v>10</v>
      </c>
      <c r="J202" s="24">
        <v>7</v>
      </c>
      <c r="K202" s="24">
        <v>9</v>
      </c>
      <c r="L202" s="24"/>
      <c r="M202" s="24" t="b">
        <v>0</v>
      </c>
      <c r="N202" s="24" t="s">
        <v>477</v>
      </c>
      <c r="O202" s="15">
        <f>VLOOKUP(N202,Select!D:H,5,FALSE)</f>
        <v>0</v>
      </c>
    </row>
    <row r="203" spans="1:15">
      <c r="A203" s="23">
        <v>101437</v>
      </c>
      <c r="B203" s="5" t="s">
        <v>26</v>
      </c>
      <c r="C203" s="6">
        <f>VLOOKUP(B203,Select!A:H,8,FALSE)</f>
        <v>4</v>
      </c>
      <c r="D203" s="5" t="s">
        <v>21</v>
      </c>
      <c r="E203" s="6">
        <f>VLOOKUP(D203,Select!B:H,7,FALSE)</f>
        <v>2</v>
      </c>
      <c r="F203" s="5" t="s">
        <v>34</v>
      </c>
      <c r="G203" s="6">
        <f>VLOOKUP(F203,Select!C:H,6,FALSE)</f>
        <v>2</v>
      </c>
      <c r="H203" s="24" t="s">
        <v>792</v>
      </c>
      <c r="I203" s="24">
        <v>5</v>
      </c>
      <c r="J203" s="24"/>
      <c r="K203" s="24"/>
      <c r="L203" s="24"/>
      <c r="M203" s="24" t="b">
        <v>0</v>
      </c>
      <c r="N203" s="24" t="s">
        <v>477</v>
      </c>
      <c r="O203" s="15">
        <f>VLOOKUP(N203,Select!D:H,5,FALSE)</f>
        <v>0</v>
      </c>
    </row>
    <row r="204" spans="1:15">
      <c r="A204" s="23">
        <v>101438</v>
      </c>
      <c r="B204" s="1" t="s">
        <v>26</v>
      </c>
      <c r="C204" s="6">
        <f>VLOOKUP(B204,Select!A:H,8,FALSE)</f>
        <v>4</v>
      </c>
      <c r="D204" s="1" t="s">
        <v>21</v>
      </c>
      <c r="E204" s="6">
        <f>VLOOKUP(D204,Select!B:H,7,FALSE)</f>
        <v>2</v>
      </c>
      <c r="F204" s="1" t="s">
        <v>34</v>
      </c>
      <c r="G204" s="6">
        <f>VLOOKUP(F204,Select!C:H,6,FALSE)</f>
        <v>2</v>
      </c>
      <c r="H204" s="24" t="s">
        <v>793</v>
      </c>
      <c r="I204" s="24">
        <v>6</v>
      </c>
      <c r="J204" s="24"/>
      <c r="K204" s="24"/>
      <c r="L204" s="24"/>
      <c r="M204" s="24" t="b">
        <v>0</v>
      </c>
      <c r="N204" s="24" t="s">
        <v>477</v>
      </c>
      <c r="O204" s="15">
        <f>VLOOKUP(N204,Select!D:H,5,FALSE)</f>
        <v>0</v>
      </c>
    </row>
    <row r="205" spans="1:15">
      <c r="A205" s="23">
        <v>101439</v>
      </c>
      <c r="B205" s="5" t="s">
        <v>26</v>
      </c>
      <c r="C205" s="6">
        <f>VLOOKUP(B205,Select!A:H,8,FALSE)</f>
        <v>4</v>
      </c>
      <c r="D205" s="5" t="s">
        <v>30</v>
      </c>
      <c r="E205" s="6">
        <f>VLOOKUP(D205,Select!B:H,7,FALSE)</f>
        <v>3</v>
      </c>
      <c r="F205" s="5" t="s">
        <v>3</v>
      </c>
      <c r="G205" s="6">
        <f>VLOOKUP(F205,Select!C:H,6,FALSE)</f>
        <v>0</v>
      </c>
      <c r="H205" s="24" t="s">
        <v>794</v>
      </c>
      <c r="I205" s="24">
        <v>6</v>
      </c>
      <c r="J205" s="24">
        <v>5</v>
      </c>
      <c r="K205" s="24">
        <v>1</v>
      </c>
      <c r="L205" s="24"/>
      <c r="M205" s="24" t="b">
        <v>0</v>
      </c>
      <c r="N205" s="24" t="s">
        <v>477</v>
      </c>
      <c r="O205" s="15">
        <f>VLOOKUP(N205,Select!D:H,5,FALSE)</f>
        <v>0</v>
      </c>
    </row>
    <row r="206" spans="1:15">
      <c r="A206" s="23">
        <v>101440</v>
      </c>
      <c r="B206" s="1" t="s">
        <v>26</v>
      </c>
      <c r="C206" s="6">
        <f>VLOOKUP(B206,Select!A:H,8,FALSE)</f>
        <v>4</v>
      </c>
      <c r="D206" s="1" t="s">
        <v>30</v>
      </c>
      <c r="E206" s="6">
        <f>VLOOKUP(D206,Select!B:H,7,FALSE)</f>
        <v>3</v>
      </c>
      <c r="F206" s="1" t="s">
        <v>3</v>
      </c>
      <c r="G206" s="6">
        <f>VLOOKUP(F206,Select!C:H,6,FALSE)</f>
        <v>0</v>
      </c>
      <c r="H206" s="24" t="s">
        <v>795</v>
      </c>
      <c r="I206" s="24">
        <v>8</v>
      </c>
      <c r="J206" s="24">
        <v>3</v>
      </c>
      <c r="K206" s="24">
        <v>1</v>
      </c>
      <c r="L206" s="24"/>
      <c r="M206" s="24" t="b">
        <v>0</v>
      </c>
      <c r="N206" s="24" t="s">
        <v>477</v>
      </c>
      <c r="O206" s="15">
        <f>VLOOKUP(N206,Select!D:H,5,FALSE)</f>
        <v>0</v>
      </c>
    </row>
    <row r="207" spans="1:15">
      <c r="A207" s="23">
        <v>101441</v>
      </c>
      <c r="B207" s="5" t="s">
        <v>26</v>
      </c>
      <c r="C207" s="6">
        <f>VLOOKUP(B207,Select!A:H,8,FALSE)</f>
        <v>4</v>
      </c>
      <c r="D207" s="5" t="s">
        <v>30</v>
      </c>
      <c r="E207" s="6">
        <f>VLOOKUP(D207,Select!B:H,7,FALSE)</f>
        <v>3</v>
      </c>
      <c r="F207" s="5" t="s">
        <v>3</v>
      </c>
      <c r="G207" s="6">
        <f>VLOOKUP(F207,Select!C:H,6,FALSE)</f>
        <v>0</v>
      </c>
      <c r="H207" s="24" t="s">
        <v>796</v>
      </c>
      <c r="I207" s="24">
        <v>9</v>
      </c>
      <c r="J207" s="24">
        <v>8</v>
      </c>
      <c r="K207" s="24">
        <v>10</v>
      </c>
      <c r="L207" s="24"/>
      <c r="M207" s="24" t="b">
        <v>0</v>
      </c>
      <c r="N207" s="24" t="s">
        <v>477</v>
      </c>
      <c r="O207" s="15">
        <f>VLOOKUP(N207,Select!D:H,5,FALSE)</f>
        <v>0</v>
      </c>
    </row>
    <row r="208" spans="1:15">
      <c r="A208" s="23">
        <v>101442</v>
      </c>
      <c r="B208" s="1" t="s">
        <v>26</v>
      </c>
      <c r="C208" s="6">
        <f>VLOOKUP(B208,Select!A:H,8,FALSE)</f>
        <v>4</v>
      </c>
      <c r="D208" s="1" t="s">
        <v>10</v>
      </c>
      <c r="E208" s="6">
        <f>VLOOKUP(D208,Select!B:H,7,FALSE)</f>
        <v>0</v>
      </c>
      <c r="F208" s="1" t="s">
        <v>3</v>
      </c>
      <c r="G208" s="6">
        <f>VLOOKUP(F208,Select!C:H,6,FALSE)</f>
        <v>0</v>
      </c>
      <c r="H208" s="24" t="s">
        <v>797</v>
      </c>
      <c r="I208" s="24">
        <v>5</v>
      </c>
      <c r="J208" s="24">
        <v>5</v>
      </c>
      <c r="K208" s="24">
        <v>5</v>
      </c>
      <c r="L208" s="24"/>
      <c r="M208" s="24" t="b">
        <v>1</v>
      </c>
      <c r="N208" s="24" t="s">
        <v>477</v>
      </c>
      <c r="O208" s="15">
        <f>VLOOKUP(N208,Select!D:H,5,FALSE)</f>
        <v>0</v>
      </c>
    </row>
    <row r="209" spans="1:15">
      <c r="A209" s="23">
        <v>101443</v>
      </c>
      <c r="B209" s="5" t="s">
        <v>26</v>
      </c>
      <c r="C209" s="6">
        <f>VLOOKUP(B209,Select!A:H,8,FALSE)</f>
        <v>4</v>
      </c>
      <c r="D209" s="5" t="s">
        <v>10</v>
      </c>
      <c r="E209" s="6">
        <f>VLOOKUP(D209,Select!B:H,7,FALSE)</f>
        <v>0</v>
      </c>
      <c r="F209" s="5" t="s">
        <v>3</v>
      </c>
      <c r="G209" s="6">
        <f>VLOOKUP(F209,Select!C:H,6,FALSE)</f>
        <v>0</v>
      </c>
      <c r="H209" s="24" t="s">
        <v>798</v>
      </c>
      <c r="I209" s="24">
        <v>6</v>
      </c>
      <c r="J209" s="24">
        <v>5</v>
      </c>
      <c r="K209" s="24">
        <v>5</v>
      </c>
      <c r="L209" s="24"/>
      <c r="M209" s="24" t="b">
        <v>1</v>
      </c>
      <c r="N209" s="24" t="s">
        <v>477</v>
      </c>
      <c r="O209" s="15">
        <f>VLOOKUP(N209,Select!D:H,5,FALSE)</f>
        <v>0</v>
      </c>
    </row>
    <row r="210" spans="1:15">
      <c r="A210" s="23">
        <v>101500</v>
      </c>
      <c r="B210" s="1" t="s">
        <v>534</v>
      </c>
      <c r="C210" s="6">
        <f>VLOOKUP(B210,Select!A:H,8,FALSE)</f>
        <v>8</v>
      </c>
      <c r="D210" s="1" t="s">
        <v>10</v>
      </c>
      <c r="E210" s="6">
        <f>VLOOKUP(D210,Select!B:H,7,FALSE)</f>
        <v>0</v>
      </c>
      <c r="F210" s="1" t="s">
        <v>3</v>
      </c>
      <c r="G210" s="6">
        <f>VLOOKUP(F210,Select!C:H,6,FALSE)</f>
        <v>0</v>
      </c>
      <c r="H210" s="24" t="s">
        <v>799</v>
      </c>
      <c r="I210" s="24">
        <v>1</v>
      </c>
      <c r="J210" s="24">
        <v>1</v>
      </c>
      <c r="K210" s="24">
        <v>2</v>
      </c>
      <c r="L210" s="24"/>
      <c r="M210" s="24" t="b">
        <v>0</v>
      </c>
      <c r="N210" s="24" t="s">
        <v>477</v>
      </c>
      <c r="O210" s="15">
        <f>VLOOKUP(N210,Select!D:H,5,FALSE)</f>
        <v>0</v>
      </c>
    </row>
    <row r="211" spans="1:15">
      <c r="A211" s="23">
        <v>101501</v>
      </c>
      <c r="B211" s="5" t="s">
        <v>534</v>
      </c>
      <c r="C211" s="6">
        <f>VLOOKUP(B211,Select!A:H,8,FALSE)</f>
        <v>8</v>
      </c>
      <c r="D211" s="5" t="s">
        <v>10</v>
      </c>
      <c r="E211" s="6">
        <f>VLOOKUP(D211,Select!B:H,7,FALSE)</f>
        <v>0</v>
      </c>
      <c r="F211" s="5" t="s">
        <v>3</v>
      </c>
      <c r="G211" s="6">
        <f>VLOOKUP(F211,Select!C:H,6,FALSE)</f>
        <v>0</v>
      </c>
      <c r="H211" s="24" t="s">
        <v>800</v>
      </c>
      <c r="I211" s="24">
        <v>2</v>
      </c>
      <c r="J211" s="24">
        <v>1</v>
      </c>
      <c r="K211" s="24">
        <v>3</v>
      </c>
      <c r="L211" s="24"/>
      <c r="M211" s="24" t="b">
        <v>0</v>
      </c>
      <c r="N211" s="24" t="s">
        <v>477</v>
      </c>
      <c r="O211" s="15">
        <f>VLOOKUP(N211,Select!D:H,5,FALSE)</f>
        <v>0</v>
      </c>
    </row>
    <row r="212" spans="1:15">
      <c r="A212" s="23">
        <v>101502</v>
      </c>
      <c r="B212" s="1" t="s">
        <v>534</v>
      </c>
      <c r="C212" s="6">
        <f>VLOOKUP(B212,Select!A:H,8,FALSE)</f>
        <v>8</v>
      </c>
      <c r="D212" s="1" t="s">
        <v>10</v>
      </c>
      <c r="E212" s="6">
        <f>VLOOKUP(D212,Select!B:H,7,FALSE)</f>
        <v>0</v>
      </c>
      <c r="F212" s="1" t="s">
        <v>3</v>
      </c>
      <c r="G212" s="6">
        <f>VLOOKUP(F212,Select!C:H,6,FALSE)</f>
        <v>0</v>
      </c>
      <c r="H212" s="24" t="s">
        <v>801</v>
      </c>
      <c r="I212" s="24">
        <v>2</v>
      </c>
      <c r="J212" s="24">
        <v>1</v>
      </c>
      <c r="K212" s="24">
        <v>2</v>
      </c>
      <c r="L212" s="24"/>
      <c r="M212" s="24" t="b">
        <v>0</v>
      </c>
      <c r="N212" s="24" t="s">
        <v>477</v>
      </c>
      <c r="O212" s="15">
        <f>VLOOKUP(N212,Select!D:H,5,FALSE)</f>
        <v>0</v>
      </c>
    </row>
    <row r="213" spans="1:15">
      <c r="A213" s="23">
        <v>101503</v>
      </c>
      <c r="B213" s="5" t="s">
        <v>534</v>
      </c>
      <c r="C213" s="6">
        <f>VLOOKUP(B213,Select!A:H,8,FALSE)</f>
        <v>8</v>
      </c>
      <c r="D213" s="5" t="s">
        <v>10</v>
      </c>
      <c r="E213" s="6">
        <f>VLOOKUP(D213,Select!B:H,7,FALSE)</f>
        <v>0</v>
      </c>
      <c r="F213" s="5" t="s">
        <v>3</v>
      </c>
      <c r="G213" s="6">
        <f>VLOOKUP(F213,Select!C:H,6,FALSE)</f>
        <v>0</v>
      </c>
      <c r="H213" s="24" t="s">
        <v>802</v>
      </c>
      <c r="I213" s="24">
        <v>2</v>
      </c>
      <c r="J213" s="24">
        <v>2</v>
      </c>
      <c r="K213" s="24">
        <v>1</v>
      </c>
      <c r="L213" s="24"/>
      <c r="M213" s="24" t="b">
        <v>0</v>
      </c>
      <c r="N213" s="24" t="s">
        <v>477</v>
      </c>
      <c r="O213" s="15">
        <f>VLOOKUP(N213,Select!D:H,5,FALSE)</f>
        <v>0</v>
      </c>
    </row>
    <row r="214" spans="1:15">
      <c r="A214" s="23">
        <v>101504</v>
      </c>
      <c r="B214" s="1" t="s">
        <v>534</v>
      </c>
      <c r="C214" s="6">
        <f>VLOOKUP(B214,Select!A:H,8,FALSE)</f>
        <v>8</v>
      </c>
      <c r="D214" s="1" t="s">
        <v>10</v>
      </c>
      <c r="E214" s="6">
        <f>VLOOKUP(D214,Select!B:H,7,FALSE)</f>
        <v>0</v>
      </c>
      <c r="F214" s="1" t="s">
        <v>3</v>
      </c>
      <c r="G214" s="6">
        <f>VLOOKUP(F214,Select!C:H,6,FALSE)</f>
        <v>0</v>
      </c>
      <c r="H214" s="24" t="s">
        <v>803</v>
      </c>
      <c r="I214" s="24">
        <v>2</v>
      </c>
      <c r="J214" s="24">
        <v>2</v>
      </c>
      <c r="K214" s="24">
        <v>2</v>
      </c>
      <c r="L214" s="24"/>
      <c r="M214" s="24" t="b">
        <v>0</v>
      </c>
      <c r="N214" s="24" t="s">
        <v>477</v>
      </c>
      <c r="O214" s="15">
        <f>VLOOKUP(N214,Select!D:H,5,FALSE)</f>
        <v>0</v>
      </c>
    </row>
    <row r="215" spans="1:15">
      <c r="A215" s="23">
        <v>101505</v>
      </c>
      <c r="B215" s="5" t="s">
        <v>534</v>
      </c>
      <c r="C215" s="6">
        <f>VLOOKUP(B215,Select!A:H,8,FALSE)</f>
        <v>8</v>
      </c>
      <c r="D215" s="5" t="s">
        <v>10</v>
      </c>
      <c r="E215" s="6">
        <f>VLOOKUP(D215,Select!B:H,7,FALSE)</f>
        <v>0</v>
      </c>
      <c r="F215" s="5" t="s">
        <v>3</v>
      </c>
      <c r="G215" s="6">
        <f>VLOOKUP(F215,Select!C:H,6,FALSE)</f>
        <v>0</v>
      </c>
      <c r="H215" s="24" t="s">
        <v>804</v>
      </c>
      <c r="I215" s="24">
        <v>3</v>
      </c>
      <c r="J215" s="24">
        <v>2</v>
      </c>
      <c r="K215" s="24">
        <v>3</v>
      </c>
      <c r="L215" s="24"/>
      <c r="M215" s="24" t="b">
        <v>0</v>
      </c>
      <c r="N215" s="24" t="s">
        <v>477</v>
      </c>
      <c r="O215" s="15">
        <f>VLOOKUP(N215,Select!D:H,5,FALSE)</f>
        <v>0</v>
      </c>
    </row>
    <row r="216" spans="1:15">
      <c r="A216" s="23">
        <v>101506</v>
      </c>
      <c r="B216" s="1" t="s">
        <v>534</v>
      </c>
      <c r="C216" s="6">
        <f>VLOOKUP(B216,Select!A:H,8,FALSE)</f>
        <v>8</v>
      </c>
      <c r="D216" s="1" t="s">
        <v>10</v>
      </c>
      <c r="E216" s="6">
        <f>VLOOKUP(D216,Select!B:H,7,FALSE)</f>
        <v>0</v>
      </c>
      <c r="F216" s="1" t="s">
        <v>3</v>
      </c>
      <c r="G216" s="6">
        <f>VLOOKUP(F216,Select!C:H,6,FALSE)</f>
        <v>0</v>
      </c>
      <c r="H216" s="24" t="s">
        <v>805</v>
      </c>
      <c r="I216" s="24">
        <v>3</v>
      </c>
      <c r="J216" s="24">
        <v>3</v>
      </c>
      <c r="K216" s="24">
        <v>2</v>
      </c>
      <c r="L216" s="24"/>
      <c r="M216" s="24" t="b">
        <v>0</v>
      </c>
      <c r="N216" s="24" t="s">
        <v>477</v>
      </c>
      <c r="O216" s="15">
        <f>VLOOKUP(N216,Select!D:H,5,FALSE)</f>
        <v>0</v>
      </c>
    </row>
    <row r="217" spans="1:15">
      <c r="A217" s="23">
        <v>101507</v>
      </c>
      <c r="B217" s="5" t="s">
        <v>534</v>
      </c>
      <c r="C217" s="6">
        <f>VLOOKUP(B217,Select!A:H,8,FALSE)</f>
        <v>8</v>
      </c>
      <c r="D217" s="5" t="s">
        <v>10</v>
      </c>
      <c r="E217" s="6">
        <f>VLOOKUP(D217,Select!B:H,7,FALSE)</f>
        <v>0</v>
      </c>
      <c r="F217" s="5" t="s">
        <v>3</v>
      </c>
      <c r="G217" s="6">
        <f>VLOOKUP(F217,Select!C:H,6,FALSE)</f>
        <v>0</v>
      </c>
      <c r="H217" s="24" t="s">
        <v>806</v>
      </c>
      <c r="I217" s="24">
        <v>3</v>
      </c>
      <c r="J217" s="24">
        <v>3</v>
      </c>
      <c r="K217" s="24">
        <v>1</v>
      </c>
      <c r="L217" s="24"/>
      <c r="M217" s="24" t="b">
        <v>0</v>
      </c>
      <c r="N217" s="24" t="s">
        <v>477</v>
      </c>
      <c r="O217" s="15">
        <f>VLOOKUP(N217,Select!D:H,5,FALSE)</f>
        <v>0</v>
      </c>
    </row>
    <row r="218" spans="1:15">
      <c r="A218" s="23">
        <v>101508</v>
      </c>
      <c r="B218" s="1" t="s">
        <v>534</v>
      </c>
      <c r="C218" s="6">
        <f>VLOOKUP(B218,Select!A:H,8,FALSE)</f>
        <v>8</v>
      </c>
      <c r="D218" s="1" t="s">
        <v>10</v>
      </c>
      <c r="E218" s="6">
        <f>VLOOKUP(D218,Select!B:H,7,FALSE)</f>
        <v>0</v>
      </c>
      <c r="F218" s="1" t="s">
        <v>3</v>
      </c>
      <c r="G218" s="6">
        <f>VLOOKUP(F218,Select!C:H,6,FALSE)</f>
        <v>0</v>
      </c>
      <c r="H218" s="24" t="s">
        <v>807</v>
      </c>
      <c r="I218" s="24">
        <v>3</v>
      </c>
      <c r="J218" s="24">
        <v>3</v>
      </c>
      <c r="K218" s="24">
        <v>2</v>
      </c>
      <c r="L218" s="24"/>
      <c r="M218" s="24" t="b">
        <v>0</v>
      </c>
      <c r="N218" s="24" t="s">
        <v>477</v>
      </c>
      <c r="O218" s="15">
        <f>VLOOKUP(N218,Select!D:H,5,FALSE)</f>
        <v>0</v>
      </c>
    </row>
    <row r="219" spans="1:15">
      <c r="A219" s="23">
        <v>101509</v>
      </c>
      <c r="B219" s="5" t="s">
        <v>534</v>
      </c>
      <c r="C219" s="6">
        <f>VLOOKUP(B219,Select!A:H,8,FALSE)</f>
        <v>8</v>
      </c>
      <c r="D219" s="5" t="s">
        <v>10</v>
      </c>
      <c r="E219" s="6">
        <f>VLOOKUP(D219,Select!B:H,7,FALSE)</f>
        <v>0</v>
      </c>
      <c r="F219" s="5" t="s">
        <v>3</v>
      </c>
      <c r="G219" s="6">
        <f>VLOOKUP(F219,Select!C:H,6,FALSE)</f>
        <v>0</v>
      </c>
      <c r="H219" s="24" t="s">
        <v>808</v>
      </c>
      <c r="I219" s="24">
        <v>4</v>
      </c>
      <c r="J219" s="24">
        <v>3</v>
      </c>
      <c r="K219" s="24">
        <v>4</v>
      </c>
      <c r="L219" s="24"/>
      <c r="M219" s="24" t="b">
        <v>0</v>
      </c>
      <c r="N219" s="24" t="s">
        <v>477</v>
      </c>
      <c r="O219" s="15">
        <f>VLOOKUP(N219,Select!D:H,5,FALSE)</f>
        <v>0</v>
      </c>
    </row>
    <row r="220" spans="1:15">
      <c r="A220" s="23">
        <v>101510</v>
      </c>
      <c r="B220" s="1" t="s">
        <v>534</v>
      </c>
      <c r="C220" s="6">
        <f>VLOOKUP(B220,Select!A:H,8,FALSE)</f>
        <v>8</v>
      </c>
      <c r="D220" s="1" t="s">
        <v>10</v>
      </c>
      <c r="E220" s="6">
        <f>VLOOKUP(D220,Select!B:H,7,FALSE)</f>
        <v>0</v>
      </c>
      <c r="F220" s="1" t="s">
        <v>3</v>
      </c>
      <c r="G220" s="6">
        <f>VLOOKUP(F220,Select!C:H,6,FALSE)</f>
        <v>0</v>
      </c>
      <c r="H220" s="24" t="s">
        <v>809</v>
      </c>
      <c r="I220" s="24">
        <v>5</v>
      </c>
      <c r="J220" s="24">
        <v>4</v>
      </c>
      <c r="K220" s="24">
        <v>5</v>
      </c>
      <c r="L220" s="24"/>
      <c r="M220" s="24" t="b">
        <v>0</v>
      </c>
      <c r="N220" s="24" t="s">
        <v>477</v>
      </c>
      <c r="O220" s="15">
        <f>VLOOKUP(N220,Select!D:H,5,FALSE)</f>
        <v>0</v>
      </c>
    </row>
    <row r="221" spans="1:15">
      <c r="A221" s="23">
        <v>101511</v>
      </c>
      <c r="B221" s="5" t="s">
        <v>534</v>
      </c>
      <c r="C221" s="6">
        <f>VLOOKUP(B221,Select!A:H,8,FALSE)</f>
        <v>8</v>
      </c>
      <c r="D221" s="5" t="s">
        <v>10</v>
      </c>
      <c r="E221" s="6">
        <f>VLOOKUP(D221,Select!B:H,7,FALSE)</f>
        <v>0</v>
      </c>
      <c r="F221" s="5" t="s">
        <v>3</v>
      </c>
      <c r="G221" s="6">
        <f>VLOOKUP(F221,Select!C:H,6,FALSE)</f>
        <v>0</v>
      </c>
      <c r="H221" s="24" t="s">
        <v>810</v>
      </c>
      <c r="I221" s="24">
        <v>7</v>
      </c>
      <c r="J221" s="24">
        <v>5</v>
      </c>
      <c r="K221" s="24">
        <v>4</v>
      </c>
      <c r="L221" s="24"/>
      <c r="M221" s="24" t="b">
        <v>0</v>
      </c>
      <c r="N221" s="24" t="s">
        <v>477</v>
      </c>
      <c r="O221" s="15">
        <f>VLOOKUP(N221,Select!D:H,5,FALSE)</f>
        <v>0</v>
      </c>
    </row>
    <row r="222" spans="1:15">
      <c r="A222" s="23">
        <v>101512</v>
      </c>
      <c r="B222" s="1" t="s">
        <v>534</v>
      </c>
      <c r="C222" s="6">
        <f>VLOOKUP(B222,Select!A:H,8,FALSE)</f>
        <v>8</v>
      </c>
      <c r="D222" s="1" t="s">
        <v>10</v>
      </c>
      <c r="E222" s="6">
        <f>VLOOKUP(D222,Select!B:H,7,FALSE)</f>
        <v>0</v>
      </c>
      <c r="F222" s="1" t="s">
        <v>3</v>
      </c>
      <c r="G222" s="6">
        <f>VLOOKUP(F222,Select!C:H,6,FALSE)</f>
        <v>0</v>
      </c>
      <c r="H222" s="24" t="s">
        <v>811</v>
      </c>
      <c r="I222" s="24">
        <v>7</v>
      </c>
      <c r="J222" s="24">
        <v>6</v>
      </c>
      <c r="K222" s="24">
        <v>6</v>
      </c>
      <c r="L222" s="24"/>
      <c r="M222" s="24" t="b">
        <v>0</v>
      </c>
      <c r="N222" s="24" t="s">
        <v>477</v>
      </c>
      <c r="O222" s="15">
        <f>VLOOKUP(N222,Select!D:H,5,FALSE)</f>
        <v>0</v>
      </c>
    </row>
    <row r="223" spans="1:15">
      <c r="A223" s="23">
        <v>101513</v>
      </c>
      <c r="B223" s="5" t="s">
        <v>534</v>
      </c>
      <c r="C223" s="6">
        <f>VLOOKUP(B223,Select!A:H,8,FALSE)</f>
        <v>8</v>
      </c>
      <c r="D223" s="5" t="s">
        <v>10</v>
      </c>
      <c r="E223" s="6">
        <f>VLOOKUP(D223,Select!B:H,7,FALSE)</f>
        <v>0</v>
      </c>
      <c r="F223" s="5" t="s">
        <v>23</v>
      </c>
      <c r="G223" s="6">
        <f>VLOOKUP(F223,Select!C:H,6,FALSE)</f>
        <v>1</v>
      </c>
      <c r="H223" s="24" t="s">
        <v>812</v>
      </c>
      <c r="I223" s="24">
        <v>1</v>
      </c>
      <c r="J223" s="24"/>
      <c r="K223" s="24"/>
      <c r="L223" s="24"/>
      <c r="M223" s="24" t="b">
        <v>0</v>
      </c>
      <c r="N223" s="24" t="s">
        <v>477</v>
      </c>
      <c r="O223" s="15">
        <f>VLOOKUP(N223,Select!D:H,5,FALSE)</f>
        <v>0</v>
      </c>
    </row>
    <row r="224" spans="1:15">
      <c r="A224" s="23">
        <v>101514</v>
      </c>
      <c r="B224" s="1" t="s">
        <v>534</v>
      </c>
      <c r="C224" s="6">
        <f>VLOOKUP(B224,Select!A:H,8,FALSE)</f>
        <v>8</v>
      </c>
      <c r="D224" s="1" t="s">
        <v>10</v>
      </c>
      <c r="E224" s="6">
        <f>VLOOKUP(D224,Select!B:H,7,FALSE)</f>
        <v>0</v>
      </c>
      <c r="F224" s="1" t="s">
        <v>23</v>
      </c>
      <c r="G224" s="6">
        <f>VLOOKUP(F224,Select!C:H,6,FALSE)</f>
        <v>1</v>
      </c>
      <c r="H224" s="24" t="s">
        <v>813</v>
      </c>
      <c r="I224" s="24">
        <v>2</v>
      </c>
      <c r="J224" s="24"/>
      <c r="K224" s="24"/>
      <c r="L224" s="24"/>
      <c r="M224" s="24" t="b">
        <v>0</v>
      </c>
      <c r="N224" s="24" t="s">
        <v>477</v>
      </c>
      <c r="O224" s="15">
        <f>VLOOKUP(N224,Select!D:H,5,FALSE)</f>
        <v>0</v>
      </c>
    </row>
    <row r="225" spans="1:15">
      <c r="A225" s="23">
        <v>101515</v>
      </c>
      <c r="B225" s="5" t="s">
        <v>534</v>
      </c>
      <c r="C225" s="6">
        <f>VLOOKUP(B225,Select!A:H,8,FALSE)</f>
        <v>8</v>
      </c>
      <c r="D225" s="5" t="s">
        <v>10</v>
      </c>
      <c r="E225" s="6">
        <f>VLOOKUP(D225,Select!B:H,7,FALSE)</f>
        <v>0</v>
      </c>
      <c r="F225" s="5" t="s">
        <v>23</v>
      </c>
      <c r="G225" s="6">
        <f>VLOOKUP(F225,Select!C:H,6,FALSE)</f>
        <v>1</v>
      </c>
      <c r="H225" s="24" t="s">
        <v>814</v>
      </c>
      <c r="I225" s="24">
        <v>3</v>
      </c>
      <c r="J225" s="24"/>
      <c r="K225" s="24"/>
      <c r="L225" s="24"/>
      <c r="M225" s="24" t="b">
        <v>0</v>
      </c>
      <c r="N225" s="24" t="s">
        <v>477</v>
      </c>
      <c r="O225" s="15">
        <f>VLOOKUP(N225,Select!D:H,5,FALSE)</f>
        <v>0</v>
      </c>
    </row>
    <row r="226" spans="1:15">
      <c r="A226" s="23">
        <v>101516</v>
      </c>
      <c r="B226" s="1" t="s">
        <v>534</v>
      </c>
      <c r="C226" s="6">
        <f>VLOOKUP(B226,Select!A:H,8,FALSE)</f>
        <v>8</v>
      </c>
      <c r="D226" s="1" t="s">
        <v>10</v>
      </c>
      <c r="E226" s="6">
        <f>VLOOKUP(D226,Select!B:H,7,FALSE)</f>
        <v>0</v>
      </c>
      <c r="F226" s="1" t="s">
        <v>23</v>
      </c>
      <c r="G226" s="6">
        <f>VLOOKUP(F226,Select!C:H,6,FALSE)</f>
        <v>1</v>
      </c>
      <c r="H226" s="24" t="s">
        <v>815</v>
      </c>
      <c r="I226" s="24">
        <v>3</v>
      </c>
      <c r="J226" s="24"/>
      <c r="K226" s="24"/>
      <c r="L226" s="24"/>
      <c r="M226" s="24" t="b">
        <v>0</v>
      </c>
      <c r="N226" s="24" t="s">
        <v>477</v>
      </c>
      <c r="O226" s="15">
        <f>VLOOKUP(N226,Select!D:H,5,FALSE)</f>
        <v>0</v>
      </c>
    </row>
    <row r="227" spans="1:15">
      <c r="A227" s="23">
        <v>101517</v>
      </c>
      <c r="B227" s="5" t="s">
        <v>534</v>
      </c>
      <c r="C227" s="6">
        <f>VLOOKUP(B227,Select!A:H,8,FALSE)</f>
        <v>8</v>
      </c>
      <c r="D227" s="5" t="s">
        <v>36</v>
      </c>
      <c r="E227" s="6">
        <f>VLOOKUP(D227,Select!B:H,7,FALSE)</f>
        <v>1</v>
      </c>
      <c r="F227" s="5" t="s">
        <v>3</v>
      </c>
      <c r="G227" s="6">
        <f>VLOOKUP(F227,Select!C:H,6,FALSE)</f>
        <v>0</v>
      </c>
      <c r="H227" s="24" t="s">
        <v>816</v>
      </c>
      <c r="I227" s="24">
        <v>1</v>
      </c>
      <c r="J227" s="24">
        <v>1</v>
      </c>
      <c r="K227" s="24">
        <v>1</v>
      </c>
      <c r="L227" s="24"/>
      <c r="M227" s="24" t="b">
        <v>0</v>
      </c>
      <c r="N227" s="24" t="s">
        <v>477</v>
      </c>
      <c r="O227" s="15">
        <f>VLOOKUP(N227,Select!D:H,5,FALSE)</f>
        <v>0</v>
      </c>
    </row>
    <row r="228" spans="1:15">
      <c r="A228" s="23">
        <v>101518</v>
      </c>
      <c r="B228" s="1" t="s">
        <v>534</v>
      </c>
      <c r="C228" s="6">
        <f>VLOOKUP(B228,Select!A:H,8,FALSE)</f>
        <v>8</v>
      </c>
      <c r="D228" s="1" t="s">
        <v>36</v>
      </c>
      <c r="E228" s="6">
        <f>VLOOKUP(D228,Select!B:H,7,FALSE)</f>
        <v>1</v>
      </c>
      <c r="F228" s="1" t="s">
        <v>3</v>
      </c>
      <c r="G228" s="6">
        <f>VLOOKUP(F228,Select!C:H,6,FALSE)</f>
        <v>0</v>
      </c>
      <c r="H228" s="24" t="s">
        <v>817</v>
      </c>
      <c r="I228" s="24">
        <v>2</v>
      </c>
      <c r="J228" s="24">
        <v>2</v>
      </c>
      <c r="K228" s="24">
        <v>2</v>
      </c>
      <c r="L228" s="24"/>
      <c r="M228" s="24" t="b">
        <v>0</v>
      </c>
      <c r="N228" s="24" t="s">
        <v>477</v>
      </c>
      <c r="O228" s="15">
        <f>VLOOKUP(N228,Select!D:H,5,FALSE)</f>
        <v>0</v>
      </c>
    </row>
    <row r="229" spans="1:15">
      <c r="A229" s="23">
        <v>101519</v>
      </c>
      <c r="B229" s="5" t="s">
        <v>534</v>
      </c>
      <c r="C229" s="6">
        <f>VLOOKUP(B229,Select!A:H,8,FALSE)</f>
        <v>8</v>
      </c>
      <c r="D229" s="5" t="s">
        <v>36</v>
      </c>
      <c r="E229" s="6">
        <f>VLOOKUP(D229,Select!B:H,7,FALSE)</f>
        <v>1</v>
      </c>
      <c r="F229" s="5" t="s">
        <v>3</v>
      </c>
      <c r="G229" s="6">
        <f>VLOOKUP(F229,Select!C:H,6,FALSE)</f>
        <v>0</v>
      </c>
      <c r="H229" s="24" t="s">
        <v>818</v>
      </c>
      <c r="I229" s="24">
        <v>3</v>
      </c>
      <c r="J229" s="24">
        <v>2</v>
      </c>
      <c r="K229" s="24">
        <v>2</v>
      </c>
      <c r="L229" s="24"/>
      <c r="M229" s="24" t="b">
        <v>0</v>
      </c>
      <c r="N229" s="24" t="s">
        <v>477</v>
      </c>
      <c r="O229" s="15">
        <f>VLOOKUP(N229,Select!D:H,5,FALSE)</f>
        <v>0</v>
      </c>
    </row>
    <row r="230" spans="1:15">
      <c r="A230" s="23">
        <v>101520</v>
      </c>
      <c r="B230" s="1" t="s">
        <v>534</v>
      </c>
      <c r="C230" s="6">
        <f>VLOOKUP(B230,Select!A:H,8,FALSE)</f>
        <v>8</v>
      </c>
      <c r="D230" s="1" t="s">
        <v>36</v>
      </c>
      <c r="E230" s="6">
        <f>VLOOKUP(D230,Select!B:H,7,FALSE)</f>
        <v>1</v>
      </c>
      <c r="F230" s="1" t="s">
        <v>3</v>
      </c>
      <c r="G230" s="6">
        <f>VLOOKUP(F230,Select!C:H,6,FALSE)</f>
        <v>0</v>
      </c>
      <c r="H230" s="24" t="s">
        <v>819</v>
      </c>
      <c r="I230" s="24">
        <v>3</v>
      </c>
      <c r="J230" s="24">
        <v>2</v>
      </c>
      <c r="K230" s="24">
        <v>2</v>
      </c>
      <c r="L230" s="24"/>
      <c r="M230" s="24" t="b">
        <v>0</v>
      </c>
      <c r="N230" s="24" t="s">
        <v>477</v>
      </c>
      <c r="O230" s="15">
        <f>VLOOKUP(N230,Select!D:H,5,FALSE)</f>
        <v>0</v>
      </c>
    </row>
    <row r="231" spans="1:15">
      <c r="A231" s="23">
        <v>101521</v>
      </c>
      <c r="B231" s="5" t="s">
        <v>534</v>
      </c>
      <c r="C231" s="6">
        <f>VLOOKUP(B231,Select!A:H,8,FALSE)</f>
        <v>8</v>
      </c>
      <c r="D231" s="5" t="s">
        <v>36</v>
      </c>
      <c r="E231" s="6">
        <f>VLOOKUP(D231,Select!B:H,7,FALSE)</f>
        <v>1</v>
      </c>
      <c r="F231" s="5" t="s">
        <v>3</v>
      </c>
      <c r="G231" s="6">
        <f>VLOOKUP(F231,Select!C:H,6,FALSE)</f>
        <v>0</v>
      </c>
      <c r="H231" s="24" t="s">
        <v>820</v>
      </c>
      <c r="I231" s="24">
        <v>4</v>
      </c>
      <c r="J231" s="24">
        <v>4</v>
      </c>
      <c r="K231" s="24">
        <v>3</v>
      </c>
      <c r="L231" s="24"/>
      <c r="M231" s="24" t="b">
        <v>0</v>
      </c>
      <c r="N231" s="24" t="s">
        <v>477</v>
      </c>
      <c r="O231" s="15">
        <f>VLOOKUP(N231,Select!D:H,5,FALSE)</f>
        <v>0</v>
      </c>
    </row>
    <row r="232" spans="1:15">
      <c r="A232" s="23">
        <v>101522</v>
      </c>
      <c r="B232" s="1" t="s">
        <v>534</v>
      </c>
      <c r="C232" s="6">
        <f>VLOOKUP(B232,Select!A:H,8,FALSE)</f>
        <v>8</v>
      </c>
      <c r="D232" s="1" t="s">
        <v>36</v>
      </c>
      <c r="E232" s="6">
        <f>VLOOKUP(D232,Select!B:H,7,FALSE)</f>
        <v>1</v>
      </c>
      <c r="F232" s="1" t="s">
        <v>3</v>
      </c>
      <c r="G232" s="6">
        <f>VLOOKUP(F232,Select!C:H,6,FALSE)</f>
        <v>0</v>
      </c>
      <c r="H232" s="24" t="s">
        <v>821</v>
      </c>
      <c r="I232" s="24">
        <v>5</v>
      </c>
      <c r="J232" s="24">
        <v>2</v>
      </c>
      <c r="K232" s="24">
        <v>5</v>
      </c>
      <c r="L232" s="24"/>
      <c r="M232" s="24" t="b">
        <v>0</v>
      </c>
      <c r="N232" s="24" t="s">
        <v>477</v>
      </c>
      <c r="O232" s="15">
        <f>VLOOKUP(N232,Select!D:H,5,FALSE)</f>
        <v>0</v>
      </c>
    </row>
    <row r="233" spans="1:15">
      <c r="A233" s="23">
        <v>101523</v>
      </c>
      <c r="B233" s="5" t="s">
        <v>534</v>
      </c>
      <c r="C233" s="6">
        <f>VLOOKUP(B233,Select!A:H,8,FALSE)</f>
        <v>8</v>
      </c>
      <c r="D233" s="5" t="s">
        <v>36</v>
      </c>
      <c r="E233" s="6">
        <f>VLOOKUP(D233,Select!B:H,7,FALSE)</f>
        <v>1</v>
      </c>
      <c r="F233" s="5" t="s">
        <v>3</v>
      </c>
      <c r="G233" s="6">
        <f>VLOOKUP(F233,Select!C:H,6,FALSE)</f>
        <v>0</v>
      </c>
      <c r="H233" s="24" t="s">
        <v>822</v>
      </c>
      <c r="I233" s="24">
        <v>5</v>
      </c>
      <c r="J233" s="24">
        <v>4</v>
      </c>
      <c r="K233" s="24">
        <v>4</v>
      </c>
      <c r="L233" s="24"/>
      <c r="M233" s="24" t="b">
        <v>0</v>
      </c>
      <c r="N233" s="24" t="s">
        <v>477</v>
      </c>
      <c r="O233" s="15">
        <f>VLOOKUP(N233,Select!D:H,5,FALSE)</f>
        <v>0</v>
      </c>
    </row>
    <row r="234" spans="1:15">
      <c r="A234" s="23">
        <v>101524</v>
      </c>
      <c r="B234" s="1" t="s">
        <v>534</v>
      </c>
      <c r="C234" s="6">
        <f>VLOOKUP(B234,Select!A:H,8,FALSE)</f>
        <v>8</v>
      </c>
      <c r="D234" s="1" t="s">
        <v>36</v>
      </c>
      <c r="E234" s="6">
        <f>VLOOKUP(D234,Select!B:H,7,FALSE)</f>
        <v>1</v>
      </c>
      <c r="F234" s="1" t="s">
        <v>3</v>
      </c>
      <c r="G234" s="6">
        <f>VLOOKUP(F234,Select!C:H,6,FALSE)</f>
        <v>0</v>
      </c>
      <c r="H234" s="24" t="s">
        <v>823</v>
      </c>
      <c r="I234" s="24">
        <v>5</v>
      </c>
      <c r="J234" s="24">
        <v>4</v>
      </c>
      <c r="K234" s="24">
        <v>5</v>
      </c>
      <c r="L234" s="24"/>
      <c r="M234" s="24" t="b">
        <v>0</v>
      </c>
      <c r="N234" s="24" t="s">
        <v>477</v>
      </c>
      <c r="O234" s="15">
        <f>VLOOKUP(N234,Select!D:H,5,FALSE)</f>
        <v>0</v>
      </c>
    </row>
    <row r="235" spans="1:15">
      <c r="A235" s="23">
        <v>101525</v>
      </c>
      <c r="B235" s="5" t="s">
        <v>534</v>
      </c>
      <c r="C235" s="6">
        <f>VLOOKUP(B235,Select!A:H,8,FALSE)</f>
        <v>8</v>
      </c>
      <c r="D235" s="5" t="s">
        <v>36</v>
      </c>
      <c r="E235" s="6">
        <f>VLOOKUP(D235,Select!B:H,7,FALSE)</f>
        <v>1</v>
      </c>
      <c r="F235" s="5" t="s">
        <v>3</v>
      </c>
      <c r="G235" s="6">
        <f>VLOOKUP(F235,Select!C:H,6,FALSE)</f>
        <v>0</v>
      </c>
      <c r="H235" s="24" t="s">
        <v>824</v>
      </c>
      <c r="I235" s="24">
        <v>6</v>
      </c>
      <c r="J235" s="24">
        <v>5</v>
      </c>
      <c r="K235" s="24">
        <v>4</v>
      </c>
      <c r="L235" s="24"/>
      <c r="M235" s="24" t="b">
        <v>0</v>
      </c>
      <c r="N235" s="24" t="s">
        <v>477</v>
      </c>
      <c r="O235" s="15">
        <f>VLOOKUP(N235,Select!D:H,5,FALSE)</f>
        <v>0</v>
      </c>
    </row>
    <row r="236" spans="1:15">
      <c r="A236" s="23">
        <v>101526</v>
      </c>
      <c r="B236" s="1" t="s">
        <v>534</v>
      </c>
      <c r="C236" s="6">
        <f>VLOOKUP(B236,Select!A:H,8,FALSE)</f>
        <v>8</v>
      </c>
      <c r="D236" s="1" t="s">
        <v>36</v>
      </c>
      <c r="E236" s="6">
        <f>VLOOKUP(D236,Select!B:H,7,FALSE)</f>
        <v>1</v>
      </c>
      <c r="F236" s="1" t="s">
        <v>3</v>
      </c>
      <c r="G236" s="6">
        <f>VLOOKUP(F236,Select!C:H,6,FALSE)</f>
        <v>0</v>
      </c>
      <c r="H236" s="24" t="s">
        <v>825</v>
      </c>
      <c r="I236" s="24">
        <v>8</v>
      </c>
      <c r="J236" s="24">
        <v>4</v>
      </c>
      <c r="K236" s="24">
        <v>7</v>
      </c>
      <c r="L236" s="24"/>
      <c r="M236" s="24" t="b">
        <v>0</v>
      </c>
      <c r="N236" s="24" t="s">
        <v>477</v>
      </c>
      <c r="O236" s="15">
        <f>VLOOKUP(N236,Select!D:H,5,FALSE)</f>
        <v>0</v>
      </c>
    </row>
    <row r="237" spans="1:15">
      <c r="A237" s="23">
        <v>101527</v>
      </c>
      <c r="B237" s="5" t="s">
        <v>534</v>
      </c>
      <c r="C237" s="6">
        <f>VLOOKUP(B237,Select!A:H,8,FALSE)</f>
        <v>8</v>
      </c>
      <c r="D237" s="5" t="s">
        <v>36</v>
      </c>
      <c r="E237" s="6">
        <f>VLOOKUP(D237,Select!B:H,7,FALSE)</f>
        <v>1</v>
      </c>
      <c r="F237" s="5" t="s">
        <v>23</v>
      </c>
      <c r="G237" s="6">
        <f>VLOOKUP(F237,Select!C:H,6,FALSE)</f>
        <v>1</v>
      </c>
      <c r="H237" s="24" t="s">
        <v>826</v>
      </c>
      <c r="I237" s="24">
        <v>2</v>
      </c>
      <c r="J237" s="24"/>
      <c r="K237" s="24"/>
      <c r="L237" s="24"/>
      <c r="M237" s="24" t="b">
        <v>0</v>
      </c>
      <c r="N237" s="24" t="s">
        <v>477</v>
      </c>
      <c r="O237" s="15">
        <f>VLOOKUP(N237,Select!D:H,5,FALSE)</f>
        <v>0</v>
      </c>
    </row>
    <row r="238" spans="1:15">
      <c r="A238" s="23">
        <v>101528</v>
      </c>
      <c r="B238" s="1" t="s">
        <v>534</v>
      </c>
      <c r="C238" s="6">
        <f>VLOOKUP(B238,Select!A:H,8,FALSE)</f>
        <v>8</v>
      </c>
      <c r="D238" s="1" t="s">
        <v>36</v>
      </c>
      <c r="E238" s="6">
        <f>VLOOKUP(D238,Select!B:H,7,FALSE)</f>
        <v>1</v>
      </c>
      <c r="F238" s="1" t="s">
        <v>23</v>
      </c>
      <c r="G238" s="6">
        <f>VLOOKUP(F238,Select!C:H,6,FALSE)</f>
        <v>1</v>
      </c>
      <c r="H238" s="24" t="s">
        <v>827</v>
      </c>
      <c r="I238" s="24">
        <v>4</v>
      </c>
      <c r="J238" s="24"/>
      <c r="K238" s="24"/>
      <c r="L238" s="24"/>
      <c r="M238" s="24" t="b">
        <v>0</v>
      </c>
      <c r="N238" s="24" t="s">
        <v>477</v>
      </c>
      <c r="O238" s="15">
        <f>VLOOKUP(N238,Select!D:H,5,FALSE)</f>
        <v>0</v>
      </c>
    </row>
    <row r="239" spans="1:15">
      <c r="A239" s="23">
        <v>101529</v>
      </c>
      <c r="B239" s="5" t="s">
        <v>534</v>
      </c>
      <c r="C239" s="6">
        <f>VLOOKUP(B239,Select!A:H,8,FALSE)</f>
        <v>8</v>
      </c>
      <c r="D239" s="5" t="s">
        <v>36</v>
      </c>
      <c r="E239" s="6">
        <f>VLOOKUP(D239,Select!B:H,7,FALSE)</f>
        <v>1</v>
      </c>
      <c r="F239" s="5" t="s">
        <v>34</v>
      </c>
      <c r="G239" s="6">
        <f>VLOOKUP(F239,Select!C:H,6,FALSE)</f>
        <v>2</v>
      </c>
      <c r="H239" s="24" t="s">
        <v>828</v>
      </c>
      <c r="I239" s="24">
        <v>1</v>
      </c>
      <c r="J239" s="24"/>
      <c r="K239" s="24"/>
      <c r="L239" s="24"/>
      <c r="M239" s="24" t="b">
        <v>0</v>
      </c>
      <c r="N239" s="24" t="s">
        <v>477</v>
      </c>
      <c r="O239" s="15">
        <f>VLOOKUP(N239,Select!D:H,5,FALSE)</f>
        <v>0</v>
      </c>
    </row>
    <row r="240" spans="1:15">
      <c r="A240" s="23">
        <v>101530</v>
      </c>
      <c r="B240" s="1" t="s">
        <v>534</v>
      </c>
      <c r="C240" s="6">
        <f>VLOOKUP(B240,Select!A:H,8,FALSE)</f>
        <v>8</v>
      </c>
      <c r="D240" s="1" t="s">
        <v>21</v>
      </c>
      <c r="E240" s="6">
        <f>VLOOKUP(D240,Select!B:H,7,FALSE)</f>
        <v>2</v>
      </c>
      <c r="F240" s="1" t="s">
        <v>3</v>
      </c>
      <c r="G240" s="6">
        <f>VLOOKUP(F240,Select!C:H,6,FALSE)</f>
        <v>0</v>
      </c>
      <c r="H240" s="24" t="s">
        <v>829</v>
      </c>
      <c r="I240" s="24">
        <v>3</v>
      </c>
      <c r="J240" s="24">
        <v>2</v>
      </c>
      <c r="K240" s="24">
        <v>3</v>
      </c>
      <c r="L240" s="24"/>
      <c r="M240" s="24" t="b">
        <v>0</v>
      </c>
      <c r="N240" s="24" t="s">
        <v>477</v>
      </c>
      <c r="O240" s="15">
        <f>VLOOKUP(N240,Select!D:H,5,FALSE)</f>
        <v>0</v>
      </c>
    </row>
    <row r="241" spans="1:15">
      <c r="A241" s="23">
        <v>101531</v>
      </c>
      <c r="B241" s="5" t="s">
        <v>534</v>
      </c>
      <c r="C241" s="6">
        <f>VLOOKUP(B241,Select!A:H,8,FALSE)</f>
        <v>8</v>
      </c>
      <c r="D241" s="5" t="s">
        <v>21</v>
      </c>
      <c r="E241" s="6">
        <f>VLOOKUP(D241,Select!B:H,7,FALSE)</f>
        <v>2</v>
      </c>
      <c r="F241" s="5" t="s">
        <v>3</v>
      </c>
      <c r="G241" s="6">
        <f>VLOOKUP(F241,Select!C:H,6,FALSE)</f>
        <v>0</v>
      </c>
      <c r="H241" s="24" t="s">
        <v>830</v>
      </c>
      <c r="I241" s="24">
        <v>4</v>
      </c>
      <c r="J241" s="24">
        <v>3</v>
      </c>
      <c r="K241" s="24">
        <v>4</v>
      </c>
      <c r="L241" s="24"/>
      <c r="M241" s="24" t="b">
        <v>0</v>
      </c>
      <c r="N241" s="24" t="s">
        <v>477</v>
      </c>
      <c r="O241" s="15">
        <f>VLOOKUP(N241,Select!D:H,5,FALSE)</f>
        <v>0</v>
      </c>
    </row>
    <row r="242" spans="1:15">
      <c r="A242" s="23">
        <v>101532</v>
      </c>
      <c r="B242" s="1" t="s">
        <v>534</v>
      </c>
      <c r="C242" s="6">
        <f>VLOOKUP(B242,Select!A:H,8,FALSE)</f>
        <v>8</v>
      </c>
      <c r="D242" s="1" t="s">
        <v>21</v>
      </c>
      <c r="E242" s="6">
        <f>VLOOKUP(D242,Select!B:H,7,FALSE)</f>
        <v>2</v>
      </c>
      <c r="F242" s="1" t="s">
        <v>3</v>
      </c>
      <c r="G242" s="6">
        <f>VLOOKUP(F242,Select!C:H,6,FALSE)</f>
        <v>0</v>
      </c>
      <c r="H242" s="24" t="s">
        <v>831</v>
      </c>
      <c r="I242" s="24">
        <v>4</v>
      </c>
      <c r="J242" s="24">
        <v>4</v>
      </c>
      <c r="K242" s="24">
        <v>1</v>
      </c>
      <c r="L242" s="24"/>
      <c r="M242" s="24" t="b">
        <v>0</v>
      </c>
      <c r="N242" s="24" t="s">
        <v>477</v>
      </c>
      <c r="O242" s="15">
        <f>VLOOKUP(N242,Select!D:H,5,FALSE)</f>
        <v>0</v>
      </c>
    </row>
    <row r="243" spans="1:15">
      <c r="A243" s="23">
        <v>101533</v>
      </c>
      <c r="B243" s="5" t="s">
        <v>534</v>
      </c>
      <c r="C243" s="6">
        <f>VLOOKUP(B243,Select!A:H,8,FALSE)</f>
        <v>8</v>
      </c>
      <c r="D243" s="5" t="s">
        <v>21</v>
      </c>
      <c r="E243" s="6">
        <f>VLOOKUP(D243,Select!B:H,7,FALSE)</f>
        <v>2</v>
      </c>
      <c r="F243" s="5" t="s">
        <v>3</v>
      </c>
      <c r="G243" s="6">
        <f>VLOOKUP(F243,Select!C:H,6,FALSE)</f>
        <v>0</v>
      </c>
      <c r="H243" s="24" t="s">
        <v>832</v>
      </c>
      <c r="I243" s="24">
        <v>6</v>
      </c>
      <c r="J243" s="24">
        <v>3</v>
      </c>
      <c r="K243" s="24">
        <v>3</v>
      </c>
      <c r="L243" s="24"/>
      <c r="M243" s="24" t="b">
        <v>0</v>
      </c>
      <c r="N243" s="24" t="s">
        <v>477</v>
      </c>
      <c r="O243" s="15">
        <f>VLOOKUP(N243,Select!D:H,5,FALSE)</f>
        <v>0</v>
      </c>
    </row>
    <row r="244" spans="1:15">
      <c r="A244" s="23">
        <v>101534</v>
      </c>
      <c r="B244" s="1" t="s">
        <v>534</v>
      </c>
      <c r="C244" s="6">
        <f>VLOOKUP(B244,Select!A:H,8,FALSE)</f>
        <v>8</v>
      </c>
      <c r="D244" s="1" t="s">
        <v>21</v>
      </c>
      <c r="E244" s="6">
        <f>VLOOKUP(D244,Select!B:H,7,FALSE)</f>
        <v>2</v>
      </c>
      <c r="F244" s="1" t="s">
        <v>3</v>
      </c>
      <c r="G244" s="6">
        <f>VLOOKUP(F244,Select!C:H,6,FALSE)</f>
        <v>0</v>
      </c>
      <c r="H244" s="24" t="s">
        <v>833</v>
      </c>
      <c r="I244" s="24">
        <v>8</v>
      </c>
      <c r="J244" s="24">
        <v>5</v>
      </c>
      <c r="K244" s="24">
        <v>5</v>
      </c>
      <c r="L244" s="24"/>
      <c r="M244" s="24" t="b">
        <v>0</v>
      </c>
      <c r="N244" s="24" t="s">
        <v>477</v>
      </c>
      <c r="O244" s="15">
        <f>VLOOKUP(N244,Select!D:H,5,FALSE)</f>
        <v>0</v>
      </c>
    </row>
    <row r="245" spans="1:15">
      <c r="A245" s="23">
        <v>101535</v>
      </c>
      <c r="B245" s="5" t="s">
        <v>534</v>
      </c>
      <c r="C245" s="6">
        <f>VLOOKUP(B245,Select!A:H,8,FALSE)</f>
        <v>8</v>
      </c>
      <c r="D245" s="5" t="s">
        <v>21</v>
      </c>
      <c r="E245" s="6">
        <f>VLOOKUP(D245,Select!B:H,7,FALSE)</f>
        <v>2</v>
      </c>
      <c r="F245" s="5" t="s">
        <v>23</v>
      </c>
      <c r="G245" s="6">
        <f>VLOOKUP(F245,Select!C:H,6,FALSE)</f>
        <v>1</v>
      </c>
      <c r="H245" s="24" t="s">
        <v>834</v>
      </c>
      <c r="I245" s="24">
        <v>3</v>
      </c>
      <c r="J245" s="24"/>
      <c r="K245" s="24"/>
      <c r="L245" s="24"/>
      <c r="M245" s="24" t="b">
        <v>0</v>
      </c>
      <c r="N245" s="24" t="s">
        <v>477</v>
      </c>
      <c r="O245" s="15">
        <f>VLOOKUP(N245,Select!D:H,5,FALSE)</f>
        <v>0</v>
      </c>
    </row>
    <row r="246" spans="1:15">
      <c r="A246" s="23">
        <v>101536</v>
      </c>
      <c r="B246" s="1" t="s">
        <v>534</v>
      </c>
      <c r="C246" s="6">
        <f>VLOOKUP(B246,Select!A:H,8,FALSE)</f>
        <v>8</v>
      </c>
      <c r="D246" s="1" t="s">
        <v>21</v>
      </c>
      <c r="E246" s="6">
        <f>VLOOKUP(D246,Select!B:H,7,FALSE)</f>
        <v>2</v>
      </c>
      <c r="F246" s="1" t="s">
        <v>23</v>
      </c>
      <c r="G246" s="6">
        <f>VLOOKUP(F246,Select!C:H,6,FALSE)</f>
        <v>1</v>
      </c>
      <c r="H246" s="24" t="s">
        <v>835</v>
      </c>
      <c r="I246" s="24">
        <v>4</v>
      </c>
      <c r="J246" s="24"/>
      <c r="K246" s="24"/>
      <c r="L246" s="24"/>
      <c r="M246" s="24" t="b">
        <v>0</v>
      </c>
      <c r="N246" s="24" t="s">
        <v>477</v>
      </c>
      <c r="O246" s="15">
        <f>VLOOKUP(N246,Select!D:H,5,FALSE)</f>
        <v>0</v>
      </c>
    </row>
    <row r="247" spans="1:15">
      <c r="A247" s="23">
        <v>101537</v>
      </c>
      <c r="B247" s="5" t="s">
        <v>534</v>
      </c>
      <c r="C247" s="6">
        <f>VLOOKUP(B247,Select!A:H,8,FALSE)</f>
        <v>8</v>
      </c>
      <c r="D247" s="5" t="s">
        <v>21</v>
      </c>
      <c r="E247" s="6">
        <f>VLOOKUP(D247,Select!B:H,7,FALSE)</f>
        <v>2</v>
      </c>
      <c r="F247" s="5" t="s">
        <v>23</v>
      </c>
      <c r="G247" s="6">
        <f>VLOOKUP(F247,Select!C:H,6,FALSE)</f>
        <v>1</v>
      </c>
      <c r="H247" s="24" t="s">
        <v>836</v>
      </c>
      <c r="I247" s="24">
        <v>6</v>
      </c>
      <c r="J247" s="24"/>
      <c r="K247" s="24"/>
      <c r="L247" s="24"/>
      <c r="M247" s="24" t="b">
        <v>0</v>
      </c>
      <c r="N247" s="24" t="s">
        <v>477</v>
      </c>
      <c r="O247" s="15">
        <f>VLOOKUP(N247,Select!D:H,5,FALSE)</f>
        <v>0</v>
      </c>
    </row>
    <row r="248" spans="1:15">
      <c r="A248" s="23">
        <v>101538</v>
      </c>
      <c r="B248" s="1" t="s">
        <v>534</v>
      </c>
      <c r="C248" s="6">
        <f>VLOOKUP(B248,Select!A:H,8,FALSE)</f>
        <v>8</v>
      </c>
      <c r="D248" s="1" t="s">
        <v>21</v>
      </c>
      <c r="E248" s="6">
        <f>VLOOKUP(D248,Select!B:H,7,FALSE)</f>
        <v>2</v>
      </c>
      <c r="F248" s="1" t="s">
        <v>34</v>
      </c>
      <c r="G248" s="6">
        <f>VLOOKUP(F248,Select!C:H,6,FALSE)</f>
        <v>2</v>
      </c>
      <c r="H248" s="24" t="s">
        <v>837</v>
      </c>
      <c r="I248" s="24">
        <v>1</v>
      </c>
      <c r="J248" s="24"/>
      <c r="K248" s="24"/>
      <c r="L248" s="24"/>
      <c r="M248" s="24" t="b">
        <v>0</v>
      </c>
      <c r="N248" s="24" t="s">
        <v>477</v>
      </c>
      <c r="O248" s="15">
        <f>VLOOKUP(N248,Select!D:H,5,FALSE)</f>
        <v>0</v>
      </c>
    </row>
    <row r="249" spans="1:15">
      <c r="A249" s="23">
        <v>101539</v>
      </c>
      <c r="B249" s="5" t="s">
        <v>534</v>
      </c>
      <c r="C249" s="6">
        <f>VLOOKUP(B249,Select!A:H,8,FALSE)</f>
        <v>8</v>
      </c>
      <c r="D249" s="5" t="s">
        <v>30</v>
      </c>
      <c r="E249" s="6">
        <f>VLOOKUP(D249,Select!B:H,7,FALSE)</f>
        <v>3</v>
      </c>
      <c r="F249" s="5" t="s">
        <v>3</v>
      </c>
      <c r="G249" s="6">
        <f>VLOOKUP(F249,Select!C:H,6,FALSE)</f>
        <v>0</v>
      </c>
      <c r="H249" s="24" t="s">
        <v>838</v>
      </c>
      <c r="I249" s="24">
        <v>5</v>
      </c>
      <c r="J249" s="24">
        <v>3</v>
      </c>
      <c r="K249" s="24">
        <v>3</v>
      </c>
      <c r="L249" s="24"/>
      <c r="M249" s="24" t="b">
        <v>0</v>
      </c>
      <c r="N249" s="24" t="s">
        <v>477</v>
      </c>
      <c r="O249" s="15">
        <f>VLOOKUP(N249,Select!D:H,5,FALSE)</f>
        <v>0</v>
      </c>
    </row>
    <row r="250" spans="1:15">
      <c r="A250" s="23">
        <v>101540</v>
      </c>
      <c r="B250" s="1" t="s">
        <v>534</v>
      </c>
      <c r="C250" s="6">
        <f>VLOOKUP(B250,Select!A:H,8,FALSE)</f>
        <v>8</v>
      </c>
      <c r="D250" s="1" t="s">
        <v>30</v>
      </c>
      <c r="E250" s="6">
        <f>VLOOKUP(D250,Select!B:H,7,FALSE)</f>
        <v>3</v>
      </c>
      <c r="F250" s="1" t="s">
        <v>3</v>
      </c>
      <c r="G250" s="6">
        <f>VLOOKUP(F250,Select!C:H,6,FALSE)</f>
        <v>0</v>
      </c>
      <c r="H250" s="24" t="s">
        <v>839</v>
      </c>
      <c r="I250" s="24">
        <v>8</v>
      </c>
      <c r="J250" s="24">
        <v>1</v>
      </c>
      <c r="K250" s="24">
        <v>1</v>
      </c>
      <c r="L250" s="24"/>
      <c r="M250" s="24" t="b">
        <v>0</v>
      </c>
      <c r="N250" s="24" t="s">
        <v>477</v>
      </c>
      <c r="O250" s="15">
        <f>VLOOKUP(N250,Select!D:H,5,FALSE)</f>
        <v>0</v>
      </c>
    </row>
    <row r="251" spans="1:15">
      <c r="A251" s="23">
        <v>101541</v>
      </c>
      <c r="B251" s="5" t="s">
        <v>534</v>
      </c>
      <c r="C251" s="6">
        <f>VLOOKUP(B251,Select!A:H,8,FALSE)</f>
        <v>8</v>
      </c>
      <c r="D251" s="5" t="s">
        <v>30</v>
      </c>
      <c r="E251" s="6">
        <f>VLOOKUP(D251,Select!B:H,7,FALSE)</f>
        <v>3</v>
      </c>
      <c r="F251" s="5" t="s">
        <v>3</v>
      </c>
      <c r="G251" s="6">
        <f>VLOOKUP(F251,Select!C:H,6,FALSE)</f>
        <v>0</v>
      </c>
      <c r="H251" s="24" t="s">
        <v>840</v>
      </c>
      <c r="I251" s="24">
        <v>9</v>
      </c>
      <c r="J251" s="24">
        <v>8</v>
      </c>
      <c r="K251" s="24">
        <v>8</v>
      </c>
      <c r="L251" s="24"/>
      <c r="M251" s="24" t="b">
        <v>0</v>
      </c>
      <c r="N251" s="24" t="s">
        <v>477</v>
      </c>
      <c r="O251" s="15">
        <f>VLOOKUP(N251,Select!D:H,5,FALSE)</f>
        <v>0</v>
      </c>
    </row>
    <row r="252" spans="1:15">
      <c r="A252" s="23">
        <v>101542</v>
      </c>
      <c r="B252" s="1" t="s">
        <v>534</v>
      </c>
      <c r="C252" s="6">
        <f>VLOOKUP(B252,Select!A:H,8,FALSE)</f>
        <v>8</v>
      </c>
      <c r="D252" s="1" t="s">
        <v>10</v>
      </c>
      <c r="E252" s="6">
        <f>VLOOKUP(D252,Select!B:H,7,FALSE)</f>
        <v>0</v>
      </c>
      <c r="F252" s="1" t="s">
        <v>3</v>
      </c>
      <c r="G252" s="6">
        <f>VLOOKUP(F252,Select!C:H,6,FALSE)</f>
        <v>0</v>
      </c>
      <c r="H252" s="24" t="s">
        <v>253</v>
      </c>
      <c r="I252" s="24">
        <v>1</v>
      </c>
      <c r="J252" s="24">
        <v>1</v>
      </c>
      <c r="K252" s="24">
        <v>1</v>
      </c>
      <c r="L252" s="24"/>
      <c r="M252" s="24" t="b">
        <v>1</v>
      </c>
      <c r="N252" s="24" t="s">
        <v>477</v>
      </c>
      <c r="O252" s="15">
        <f>VLOOKUP(N252,Select!D:H,5,FALSE)</f>
        <v>0</v>
      </c>
    </row>
    <row r="253" spans="1:15">
      <c r="A253" s="23">
        <v>101543</v>
      </c>
      <c r="B253" s="5" t="s">
        <v>534</v>
      </c>
      <c r="C253" s="6">
        <f>VLOOKUP(B253,Select!A:H,8,FALSE)</f>
        <v>8</v>
      </c>
      <c r="D253" s="5" t="s">
        <v>30</v>
      </c>
      <c r="E253" s="6">
        <f>VLOOKUP(D253,Select!B:H,7,FALSE)</f>
        <v>3</v>
      </c>
      <c r="F253" s="5" t="s">
        <v>23</v>
      </c>
      <c r="G253" s="6">
        <f>VLOOKUP(F253,Select!C:H,6,FALSE)</f>
        <v>1</v>
      </c>
      <c r="H253" s="24" t="s">
        <v>841</v>
      </c>
      <c r="I253" s="24">
        <v>1</v>
      </c>
      <c r="J253" s="24"/>
      <c r="K253" s="24"/>
      <c r="L253" s="24"/>
      <c r="M253" s="24" t="b">
        <v>1</v>
      </c>
      <c r="N253" s="24" t="s">
        <v>477</v>
      </c>
      <c r="O253" s="15">
        <f>VLOOKUP(N253,Select!D:H,5,FALSE)</f>
        <v>0</v>
      </c>
    </row>
    <row r="254" spans="1:15">
      <c r="A254" s="23">
        <v>101544</v>
      </c>
      <c r="B254" s="1" t="s">
        <v>534</v>
      </c>
      <c r="C254" s="6">
        <f>VLOOKUP(B254,Select!A:H,8,FALSE)</f>
        <v>8</v>
      </c>
      <c r="D254" s="1" t="s">
        <v>30</v>
      </c>
      <c r="E254" s="6">
        <f>VLOOKUP(D254,Select!B:H,7,FALSE)</f>
        <v>3</v>
      </c>
      <c r="F254" s="1" t="s">
        <v>23</v>
      </c>
      <c r="G254" s="6">
        <f>VLOOKUP(F254,Select!C:H,6,FALSE)</f>
        <v>1</v>
      </c>
      <c r="H254" s="24" t="s">
        <v>842</v>
      </c>
      <c r="I254" s="24">
        <v>1</v>
      </c>
      <c r="J254" s="24"/>
      <c r="K254" s="24"/>
      <c r="L254" s="24"/>
      <c r="M254" s="24" t="b">
        <v>1</v>
      </c>
      <c r="N254" s="24" t="s">
        <v>477</v>
      </c>
      <c r="O254" s="15">
        <f>VLOOKUP(N254,Select!D:H,5,FALSE)</f>
        <v>0</v>
      </c>
    </row>
    <row r="255" spans="1:15">
      <c r="A255" s="23">
        <v>101600</v>
      </c>
      <c r="B255" s="5" t="s">
        <v>532</v>
      </c>
      <c r="C255" s="6">
        <f>VLOOKUP(B255,Select!A:H,8,FALSE)</f>
        <v>9</v>
      </c>
      <c r="D255" s="5" t="s">
        <v>10</v>
      </c>
      <c r="E255" s="6">
        <f>VLOOKUP(D255,Select!B:H,7,FALSE)</f>
        <v>0</v>
      </c>
      <c r="F255" s="5" t="s">
        <v>3</v>
      </c>
      <c r="G255" s="6">
        <f>VLOOKUP(F255,Select!C:H,6,FALSE)</f>
        <v>0</v>
      </c>
      <c r="H255" s="24" t="s">
        <v>843</v>
      </c>
      <c r="I255" s="24">
        <v>1</v>
      </c>
      <c r="J255" s="24">
        <v>1</v>
      </c>
      <c r="K255" s="24">
        <v>2</v>
      </c>
      <c r="L255" s="24"/>
      <c r="M255" s="24" t="b">
        <v>0</v>
      </c>
      <c r="N255" s="24" t="s">
        <v>477</v>
      </c>
      <c r="O255" s="15">
        <f>VLOOKUP(N255,Select!D:H,5,FALSE)</f>
        <v>0</v>
      </c>
    </row>
    <row r="256" spans="1:15">
      <c r="A256" s="23">
        <v>101601</v>
      </c>
      <c r="B256" s="1" t="s">
        <v>532</v>
      </c>
      <c r="C256" s="6">
        <f>VLOOKUP(B256,Select!A:H,8,FALSE)</f>
        <v>9</v>
      </c>
      <c r="D256" s="1" t="s">
        <v>10</v>
      </c>
      <c r="E256" s="6">
        <f>VLOOKUP(D256,Select!B:H,7,FALSE)</f>
        <v>0</v>
      </c>
      <c r="F256" s="1" t="s">
        <v>3</v>
      </c>
      <c r="G256" s="6">
        <f>VLOOKUP(F256,Select!C:H,6,FALSE)</f>
        <v>0</v>
      </c>
      <c r="H256" s="24" t="s">
        <v>845</v>
      </c>
      <c r="I256" s="24">
        <v>2</v>
      </c>
      <c r="J256" s="24">
        <v>2</v>
      </c>
      <c r="K256" s="24">
        <v>1</v>
      </c>
      <c r="L256" s="24"/>
      <c r="M256" s="24" t="b">
        <v>0</v>
      </c>
      <c r="N256" s="24" t="s">
        <v>477</v>
      </c>
      <c r="O256" s="15">
        <f>VLOOKUP(N256,Select!D:H,5,FALSE)</f>
        <v>0</v>
      </c>
    </row>
    <row r="257" spans="1:15">
      <c r="A257" s="23">
        <v>101602</v>
      </c>
      <c r="B257" s="5" t="s">
        <v>532</v>
      </c>
      <c r="C257" s="6">
        <f>VLOOKUP(B257,Select!A:H,8,FALSE)</f>
        <v>9</v>
      </c>
      <c r="D257" s="5" t="s">
        <v>10</v>
      </c>
      <c r="E257" s="6">
        <f>VLOOKUP(D257,Select!B:H,7,FALSE)</f>
        <v>0</v>
      </c>
      <c r="F257" s="5" t="s">
        <v>3</v>
      </c>
      <c r="G257" s="6">
        <f>VLOOKUP(F257,Select!C:H,6,FALSE)</f>
        <v>0</v>
      </c>
      <c r="H257" s="24" t="s">
        <v>846</v>
      </c>
      <c r="I257" s="24">
        <v>2</v>
      </c>
      <c r="J257" s="24">
        <v>1</v>
      </c>
      <c r="K257" s="24">
        <v>3</v>
      </c>
      <c r="L257" s="24"/>
      <c r="M257" s="24" t="b">
        <v>0</v>
      </c>
      <c r="N257" s="24" t="s">
        <v>477</v>
      </c>
      <c r="O257" s="15">
        <f>VLOOKUP(N257,Select!D:H,5,FALSE)</f>
        <v>0</v>
      </c>
    </row>
    <row r="258" spans="1:15">
      <c r="A258" s="23">
        <v>101603</v>
      </c>
      <c r="B258" s="1" t="s">
        <v>532</v>
      </c>
      <c r="C258" s="6">
        <f>VLOOKUP(B258,Select!A:H,8,FALSE)</f>
        <v>9</v>
      </c>
      <c r="D258" s="1" t="s">
        <v>10</v>
      </c>
      <c r="E258" s="6">
        <f>VLOOKUP(D258,Select!B:H,7,FALSE)</f>
        <v>0</v>
      </c>
      <c r="F258" s="1" t="s">
        <v>3</v>
      </c>
      <c r="G258" s="6">
        <f>VLOOKUP(F258,Select!C:H,6,FALSE)</f>
        <v>0</v>
      </c>
      <c r="H258" s="24" t="s">
        <v>847</v>
      </c>
      <c r="I258" s="24">
        <v>2</v>
      </c>
      <c r="J258" s="24">
        <v>2</v>
      </c>
      <c r="K258" s="24">
        <v>1</v>
      </c>
      <c r="L258" s="24"/>
      <c r="M258" s="24" t="b">
        <v>0</v>
      </c>
      <c r="N258" s="24" t="s">
        <v>477</v>
      </c>
      <c r="O258" s="15">
        <f>VLOOKUP(N258,Select!D:H,5,FALSE)</f>
        <v>0</v>
      </c>
    </row>
    <row r="259" spans="1:15">
      <c r="A259" s="23">
        <v>101604</v>
      </c>
      <c r="B259" s="5" t="s">
        <v>532</v>
      </c>
      <c r="C259" s="6">
        <f>VLOOKUP(B259,Select!A:H,8,FALSE)</f>
        <v>9</v>
      </c>
      <c r="D259" s="5" t="s">
        <v>10</v>
      </c>
      <c r="E259" s="6">
        <f>VLOOKUP(D259,Select!B:H,7,FALSE)</f>
        <v>0</v>
      </c>
      <c r="F259" s="5" t="s">
        <v>3</v>
      </c>
      <c r="G259" s="6">
        <f>VLOOKUP(F259,Select!C:H,6,FALSE)</f>
        <v>0</v>
      </c>
      <c r="H259" s="24" t="s">
        <v>848</v>
      </c>
      <c r="I259" s="24">
        <v>2</v>
      </c>
      <c r="J259" s="24">
        <v>2</v>
      </c>
      <c r="K259" s="24">
        <v>1</v>
      </c>
      <c r="L259" s="24"/>
      <c r="M259" s="24" t="b">
        <v>0</v>
      </c>
      <c r="N259" s="24" t="s">
        <v>477</v>
      </c>
      <c r="O259" s="15">
        <f>VLOOKUP(N259,Select!D:H,5,FALSE)</f>
        <v>0</v>
      </c>
    </row>
    <row r="260" spans="1:15">
      <c r="A260" s="23">
        <v>101605</v>
      </c>
      <c r="B260" s="1" t="s">
        <v>532</v>
      </c>
      <c r="C260" s="6">
        <f>VLOOKUP(B260,Select!A:H,8,FALSE)</f>
        <v>9</v>
      </c>
      <c r="D260" s="1" t="s">
        <v>10</v>
      </c>
      <c r="E260" s="6">
        <f>VLOOKUP(D260,Select!B:H,7,FALSE)</f>
        <v>0</v>
      </c>
      <c r="F260" s="1" t="s">
        <v>3</v>
      </c>
      <c r="G260" s="6">
        <f>VLOOKUP(F260,Select!C:H,6,FALSE)</f>
        <v>0</v>
      </c>
      <c r="H260" s="24" t="s">
        <v>849</v>
      </c>
      <c r="I260" s="24">
        <v>3</v>
      </c>
      <c r="J260" s="24">
        <v>2</v>
      </c>
      <c r="K260" s="24">
        <v>3</v>
      </c>
      <c r="L260" s="24"/>
      <c r="M260" s="24" t="b">
        <v>0</v>
      </c>
      <c r="N260" s="24" t="s">
        <v>477</v>
      </c>
      <c r="O260" s="15">
        <f>VLOOKUP(N260,Select!D:H,5,FALSE)</f>
        <v>0</v>
      </c>
    </row>
    <row r="261" spans="1:15">
      <c r="A261" s="23">
        <v>101606</v>
      </c>
      <c r="B261" s="5" t="s">
        <v>532</v>
      </c>
      <c r="C261" s="6">
        <f>VLOOKUP(B261,Select!A:H,8,FALSE)</f>
        <v>9</v>
      </c>
      <c r="D261" s="5" t="s">
        <v>10</v>
      </c>
      <c r="E261" s="6">
        <f>VLOOKUP(D261,Select!B:H,7,FALSE)</f>
        <v>0</v>
      </c>
      <c r="F261" s="5" t="s">
        <v>3</v>
      </c>
      <c r="G261" s="6">
        <f>VLOOKUP(F261,Select!C:H,6,FALSE)</f>
        <v>0</v>
      </c>
      <c r="H261" s="24" t="s">
        <v>850</v>
      </c>
      <c r="I261" s="24">
        <v>3</v>
      </c>
      <c r="J261" s="24">
        <v>2</v>
      </c>
      <c r="K261" s="24">
        <v>1</v>
      </c>
      <c r="L261" s="24"/>
      <c r="M261" s="24" t="b">
        <v>0</v>
      </c>
      <c r="N261" s="24" t="s">
        <v>477</v>
      </c>
      <c r="O261" s="15">
        <f>VLOOKUP(N261,Select!D:H,5,FALSE)</f>
        <v>0</v>
      </c>
    </row>
    <row r="262" spans="1:15">
      <c r="A262" s="23">
        <v>101607</v>
      </c>
      <c r="B262" s="1" t="s">
        <v>532</v>
      </c>
      <c r="C262" s="6">
        <f>VLOOKUP(B262,Select!A:H,8,FALSE)</f>
        <v>9</v>
      </c>
      <c r="D262" s="1" t="s">
        <v>10</v>
      </c>
      <c r="E262" s="6">
        <f>VLOOKUP(D262,Select!B:H,7,FALSE)</f>
        <v>0</v>
      </c>
      <c r="F262" s="1" t="s">
        <v>3</v>
      </c>
      <c r="G262" s="6">
        <f>VLOOKUP(F262,Select!C:H,6,FALSE)</f>
        <v>0</v>
      </c>
      <c r="H262" s="24" t="s">
        <v>851</v>
      </c>
      <c r="I262" s="24">
        <v>3</v>
      </c>
      <c r="J262" s="24">
        <v>3</v>
      </c>
      <c r="K262" s="24">
        <v>2</v>
      </c>
      <c r="L262" s="24"/>
      <c r="M262" s="24" t="b">
        <v>0</v>
      </c>
      <c r="N262" s="24" t="s">
        <v>477</v>
      </c>
      <c r="O262" s="15">
        <f>VLOOKUP(N262,Select!D:H,5,FALSE)</f>
        <v>0</v>
      </c>
    </row>
    <row r="263" spans="1:15">
      <c r="A263" s="23">
        <v>101608</v>
      </c>
      <c r="B263" s="5" t="s">
        <v>532</v>
      </c>
      <c r="C263" s="6">
        <f>VLOOKUP(B263,Select!A:H,8,FALSE)</f>
        <v>9</v>
      </c>
      <c r="D263" s="5" t="s">
        <v>10</v>
      </c>
      <c r="E263" s="6">
        <f>VLOOKUP(D263,Select!B:H,7,FALSE)</f>
        <v>0</v>
      </c>
      <c r="F263" s="5" t="s">
        <v>3</v>
      </c>
      <c r="G263" s="6">
        <f>VLOOKUP(F263,Select!C:H,6,FALSE)</f>
        <v>0</v>
      </c>
      <c r="H263" s="24" t="s">
        <v>852</v>
      </c>
      <c r="I263" s="24">
        <v>3</v>
      </c>
      <c r="J263" s="24">
        <v>4</v>
      </c>
      <c r="K263" s="24">
        <v>1</v>
      </c>
      <c r="L263" s="24"/>
      <c r="M263" s="24" t="b">
        <v>0</v>
      </c>
      <c r="N263" s="24" t="s">
        <v>477</v>
      </c>
      <c r="O263" s="15">
        <f>VLOOKUP(N263,Select!D:H,5,FALSE)</f>
        <v>0</v>
      </c>
    </row>
    <row r="264" spans="1:15">
      <c r="A264" s="23">
        <v>101609</v>
      </c>
      <c r="B264" s="1" t="s">
        <v>532</v>
      </c>
      <c r="C264" s="6">
        <f>VLOOKUP(B264,Select!A:H,8,FALSE)</f>
        <v>9</v>
      </c>
      <c r="D264" s="1" t="s">
        <v>10</v>
      </c>
      <c r="E264" s="6">
        <f>VLOOKUP(D264,Select!B:H,7,FALSE)</f>
        <v>0</v>
      </c>
      <c r="F264" s="1" t="s">
        <v>3</v>
      </c>
      <c r="G264" s="6">
        <f>VLOOKUP(F264,Select!C:H,6,FALSE)</f>
        <v>0</v>
      </c>
      <c r="H264" s="24" t="s">
        <v>853</v>
      </c>
      <c r="I264" s="24">
        <v>3</v>
      </c>
      <c r="J264" s="24">
        <v>2</v>
      </c>
      <c r="K264" s="24">
        <v>3</v>
      </c>
      <c r="L264" s="24"/>
      <c r="M264" s="24" t="b">
        <v>0</v>
      </c>
      <c r="N264" s="24" t="s">
        <v>477</v>
      </c>
      <c r="O264" s="15">
        <f>VLOOKUP(N264,Select!D:H,5,FALSE)</f>
        <v>0</v>
      </c>
    </row>
    <row r="265" spans="1:15">
      <c r="A265" s="23">
        <v>101610</v>
      </c>
      <c r="B265" s="5" t="s">
        <v>532</v>
      </c>
      <c r="C265" s="6">
        <f>VLOOKUP(B265,Select!A:H,8,FALSE)</f>
        <v>9</v>
      </c>
      <c r="D265" s="5" t="s">
        <v>10</v>
      </c>
      <c r="E265" s="6">
        <f>VLOOKUP(D265,Select!B:H,7,FALSE)</f>
        <v>0</v>
      </c>
      <c r="F265" s="5" t="s">
        <v>3</v>
      </c>
      <c r="G265" s="6">
        <f>VLOOKUP(F265,Select!C:H,6,FALSE)</f>
        <v>0</v>
      </c>
      <c r="H265" s="24" t="s">
        <v>854</v>
      </c>
      <c r="I265" s="24">
        <v>4</v>
      </c>
      <c r="J265" s="24">
        <v>3</v>
      </c>
      <c r="K265" s="24">
        <v>4</v>
      </c>
      <c r="L265" s="24"/>
      <c r="M265" s="24" t="b">
        <v>0</v>
      </c>
      <c r="N265" s="24" t="s">
        <v>477</v>
      </c>
      <c r="O265" s="15">
        <f>VLOOKUP(N265,Select!D:H,5,FALSE)</f>
        <v>0</v>
      </c>
    </row>
    <row r="266" spans="1:15">
      <c r="A266" s="23">
        <v>101611</v>
      </c>
      <c r="B266" s="1" t="s">
        <v>532</v>
      </c>
      <c r="C266" s="6">
        <f>VLOOKUP(B266,Select!A:H,8,FALSE)</f>
        <v>9</v>
      </c>
      <c r="D266" s="1" t="s">
        <v>10</v>
      </c>
      <c r="E266" s="6">
        <f>VLOOKUP(D266,Select!B:H,7,FALSE)</f>
        <v>0</v>
      </c>
      <c r="F266" s="1" t="s">
        <v>3</v>
      </c>
      <c r="G266" s="6">
        <f>VLOOKUP(F266,Select!C:H,6,FALSE)</f>
        <v>0</v>
      </c>
      <c r="H266" s="24" t="s">
        <v>855</v>
      </c>
      <c r="I266" s="24">
        <v>4</v>
      </c>
      <c r="J266" s="24">
        <v>4</v>
      </c>
      <c r="K266" s="24">
        <v>4</v>
      </c>
      <c r="L266" s="24"/>
      <c r="M266" s="24" t="b">
        <v>0</v>
      </c>
      <c r="N266" s="24" t="s">
        <v>477</v>
      </c>
      <c r="O266" s="15">
        <f>VLOOKUP(N266,Select!D:H,5,FALSE)</f>
        <v>0</v>
      </c>
    </row>
    <row r="267" spans="1:15">
      <c r="A267" s="23">
        <v>101612</v>
      </c>
      <c r="B267" s="5" t="s">
        <v>532</v>
      </c>
      <c r="C267" s="6">
        <f>VLOOKUP(B267,Select!A:H,8,FALSE)</f>
        <v>9</v>
      </c>
      <c r="D267" s="5" t="s">
        <v>10</v>
      </c>
      <c r="E267" s="6">
        <f>VLOOKUP(D267,Select!B:H,7,FALSE)</f>
        <v>0</v>
      </c>
      <c r="F267" s="5" t="s">
        <v>3</v>
      </c>
      <c r="G267" s="6">
        <f>VLOOKUP(F267,Select!C:H,6,FALSE)</f>
        <v>0</v>
      </c>
      <c r="H267" s="24" t="s">
        <v>856</v>
      </c>
      <c r="I267" s="24">
        <v>5</v>
      </c>
      <c r="J267" s="24">
        <v>4</v>
      </c>
      <c r="K267" s="24">
        <v>4</v>
      </c>
      <c r="L267" s="24"/>
      <c r="M267" s="24" t="b">
        <v>0</v>
      </c>
      <c r="N267" s="24" t="s">
        <v>477</v>
      </c>
      <c r="O267" s="15">
        <f>VLOOKUP(N267,Select!D:H,5,FALSE)</f>
        <v>0</v>
      </c>
    </row>
    <row r="268" spans="1:15">
      <c r="A268" s="23">
        <v>101613</v>
      </c>
      <c r="B268" s="1" t="s">
        <v>532</v>
      </c>
      <c r="C268" s="6">
        <f>VLOOKUP(B268,Select!A:H,8,FALSE)</f>
        <v>9</v>
      </c>
      <c r="D268" s="1" t="s">
        <v>10</v>
      </c>
      <c r="E268" s="6">
        <f>VLOOKUP(D268,Select!B:H,7,FALSE)</f>
        <v>0</v>
      </c>
      <c r="F268" s="1" t="s">
        <v>3</v>
      </c>
      <c r="G268" s="6">
        <f>VLOOKUP(F268,Select!C:H,6,FALSE)</f>
        <v>0</v>
      </c>
      <c r="H268" s="24" t="s">
        <v>857</v>
      </c>
      <c r="I268" s="24">
        <v>6</v>
      </c>
      <c r="J268" s="24">
        <v>5</v>
      </c>
      <c r="K268" s="24">
        <v>6</v>
      </c>
      <c r="L268" s="24"/>
      <c r="M268" s="24" t="b">
        <v>0</v>
      </c>
      <c r="N268" s="24" t="s">
        <v>477</v>
      </c>
      <c r="O268" s="15">
        <f>VLOOKUP(N268,Select!D:H,5,FALSE)</f>
        <v>0</v>
      </c>
    </row>
    <row r="269" spans="1:15">
      <c r="A269" s="23">
        <v>101614</v>
      </c>
      <c r="B269" s="5" t="s">
        <v>532</v>
      </c>
      <c r="C269" s="6">
        <f>VLOOKUP(B269,Select!A:H,8,FALSE)</f>
        <v>9</v>
      </c>
      <c r="D269" s="5" t="s">
        <v>10</v>
      </c>
      <c r="E269" s="6">
        <f>VLOOKUP(D269,Select!B:H,7,FALSE)</f>
        <v>0</v>
      </c>
      <c r="F269" s="5" t="s">
        <v>23</v>
      </c>
      <c r="G269" s="6">
        <f>VLOOKUP(F269,Select!C:H,6,FALSE)</f>
        <v>1</v>
      </c>
      <c r="H269" s="24" t="s">
        <v>858</v>
      </c>
      <c r="I269" s="24">
        <v>2</v>
      </c>
      <c r="J269" s="24"/>
      <c r="K269" s="24"/>
      <c r="L269" s="24"/>
      <c r="M269" s="24" t="b">
        <v>0</v>
      </c>
      <c r="N269" s="24" t="s">
        <v>477</v>
      </c>
      <c r="O269" s="15">
        <f>VLOOKUP(N269,Select!D:H,5,FALSE)</f>
        <v>0</v>
      </c>
    </row>
    <row r="270" spans="1:15">
      <c r="A270" s="23">
        <v>101615</v>
      </c>
      <c r="B270" s="1" t="s">
        <v>532</v>
      </c>
      <c r="C270" s="6">
        <f>VLOOKUP(B270,Select!A:H,8,FALSE)</f>
        <v>9</v>
      </c>
      <c r="D270" s="1" t="s">
        <v>10</v>
      </c>
      <c r="E270" s="6">
        <f>VLOOKUP(D270,Select!B:H,7,FALSE)</f>
        <v>0</v>
      </c>
      <c r="F270" s="1" t="s">
        <v>23</v>
      </c>
      <c r="G270" s="6">
        <f>VLOOKUP(F270,Select!C:H,6,FALSE)</f>
        <v>1</v>
      </c>
      <c r="H270" s="24" t="s">
        <v>859</v>
      </c>
      <c r="I270" s="24">
        <v>2</v>
      </c>
      <c r="J270" s="24"/>
      <c r="K270" s="24"/>
      <c r="L270" s="24"/>
      <c r="M270" s="24" t="b">
        <v>0</v>
      </c>
      <c r="N270" s="24" t="s">
        <v>477</v>
      </c>
      <c r="O270" s="15">
        <f>VLOOKUP(N270,Select!D:H,5,FALSE)</f>
        <v>0</v>
      </c>
    </row>
    <row r="271" spans="1:15">
      <c r="A271" s="23">
        <v>101616</v>
      </c>
      <c r="B271" s="5" t="s">
        <v>532</v>
      </c>
      <c r="C271" s="6">
        <f>VLOOKUP(B271,Select!A:H,8,FALSE)</f>
        <v>9</v>
      </c>
      <c r="D271" s="5" t="s">
        <v>10</v>
      </c>
      <c r="E271" s="6">
        <f>VLOOKUP(D271,Select!B:H,7,FALSE)</f>
        <v>0</v>
      </c>
      <c r="F271" s="5" t="s">
        <v>23</v>
      </c>
      <c r="G271" s="6">
        <f>VLOOKUP(F271,Select!C:H,6,FALSE)</f>
        <v>1</v>
      </c>
      <c r="H271" s="24" t="s">
        <v>860</v>
      </c>
      <c r="I271" s="24">
        <v>3</v>
      </c>
      <c r="J271" s="24"/>
      <c r="K271" s="24"/>
      <c r="L271" s="24"/>
      <c r="M271" s="24" t="b">
        <v>0</v>
      </c>
      <c r="N271" s="24" t="s">
        <v>477</v>
      </c>
      <c r="O271" s="15">
        <f>VLOOKUP(N271,Select!D:H,5,FALSE)</f>
        <v>0</v>
      </c>
    </row>
    <row r="272" spans="1:15">
      <c r="A272" s="23">
        <v>101617</v>
      </c>
      <c r="B272" s="1" t="s">
        <v>532</v>
      </c>
      <c r="C272" s="6">
        <f>VLOOKUP(B272,Select!A:H,8,FALSE)</f>
        <v>9</v>
      </c>
      <c r="D272" s="1" t="s">
        <v>36</v>
      </c>
      <c r="E272" s="6">
        <f>VLOOKUP(D272,Select!B:H,7,FALSE)</f>
        <v>1</v>
      </c>
      <c r="F272" s="1" t="s">
        <v>3</v>
      </c>
      <c r="G272" s="6">
        <f>VLOOKUP(F272,Select!C:H,6,FALSE)</f>
        <v>0</v>
      </c>
      <c r="H272" s="24" t="s">
        <v>861</v>
      </c>
      <c r="I272" s="24">
        <v>1</v>
      </c>
      <c r="J272" s="24">
        <v>1</v>
      </c>
      <c r="K272" s="24">
        <v>2</v>
      </c>
      <c r="L272" s="24"/>
      <c r="M272" s="24" t="b">
        <v>0</v>
      </c>
      <c r="N272" s="24" t="s">
        <v>477</v>
      </c>
      <c r="O272" s="15">
        <f>VLOOKUP(N272,Select!D:H,5,FALSE)</f>
        <v>0</v>
      </c>
    </row>
    <row r="273" spans="1:15">
      <c r="A273" s="23">
        <v>101618</v>
      </c>
      <c r="B273" s="5" t="s">
        <v>532</v>
      </c>
      <c r="C273" s="6">
        <f>VLOOKUP(B273,Select!A:H,8,FALSE)</f>
        <v>9</v>
      </c>
      <c r="D273" s="5" t="s">
        <v>36</v>
      </c>
      <c r="E273" s="6">
        <f>VLOOKUP(D273,Select!B:H,7,FALSE)</f>
        <v>1</v>
      </c>
      <c r="F273" s="5" t="s">
        <v>3</v>
      </c>
      <c r="G273" s="6">
        <f>VLOOKUP(F273,Select!C:H,6,FALSE)</f>
        <v>0</v>
      </c>
      <c r="H273" s="24" t="s">
        <v>862</v>
      </c>
      <c r="I273" s="24">
        <v>2</v>
      </c>
      <c r="J273" s="24">
        <v>1</v>
      </c>
      <c r="K273" s="24">
        <v>3</v>
      </c>
      <c r="L273" s="24"/>
      <c r="M273" s="24" t="b">
        <v>0</v>
      </c>
      <c r="N273" s="24" t="s">
        <v>477</v>
      </c>
      <c r="O273" s="15">
        <f>VLOOKUP(N273,Select!D:H,5,FALSE)</f>
        <v>0</v>
      </c>
    </row>
    <row r="274" spans="1:15">
      <c r="A274" s="23">
        <v>101619</v>
      </c>
      <c r="B274" s="1" t="s">
        <v>532</v>
      </c>
      <c r="C274" s="6">
        <f>VLOOKUP(B274,Select!A:H,8,FALSE)</f>
        <v>9</v>
      </c>
      <c r="D274" s="1" t="s">
        <v>36</v>
      </c>
      <c r="E274" s="6">
        <f>VLOOKUP(D274,Select!B:H,7,FALSE)</f>
        <v>1</v>
      </c>
      <c r="F274" s="1" t="s">
        <v>3</v>
      </c>
      <c r="G274" s="6">
        <f>VLOOKUP(F274,Select!C:H,6,FALSE)</f>
        <v>0</v>
      </c>
      <c r="H274" s="24" t="s">
        <v>863</v>
      </c>
      <c r="I274" s="24">
        <v>2</v>
      </c>
      <c r="J274" s="24">
        <v>2</v>
      </c>
      <c r="K274" s="24">
        <v>2</v>
      </c>
      <c r="L274" s="24"/>
      <c r="M274" s="24" t="b">
        <v>0</v>
      </c>
      <c r="N274" s="24" t="s">
        <v>477</v>
      </c>
      <c r="O274" s="15">
        <f>VLOOKUP(N274,Select!D:H,5,FALSE)</f>
        <v>0</v>
      </c>
    </row>
    <row r="275" spans="1:15">
      <c r="A275" s="23">
        <v>101620</v>
      </c>
      <c r="B275" s="5" t="s">
        <v>532</v>
      </c>
      <c r="C275" s="6">
        <f>VLOOKUP(B275,Select!A:H,8,FALSE)</f>
        <v>9</v>
      </c>
      <c r="D275" s="5" t="s">
        <v>36</v>
      </c>
      <c r="E275" s="6">
        <f>VLOOKUP(D275,Select!B:H,7,FALSE)</f>
        <v>1</v>
      </c>
      <c r="F275" s="5" t="s">
        <v>3</v>
      </c>
      <c r="G275" s="6">
        <f>VLOOKUP(F275,Select!C:H,6,FALSE)</f>
        <v>0</v>
      </c>
      <c r="H275" s="24" t="s">
        <v>864</v>
      </c>
      <c r="I275" s="24">
        <v>3</v>
      </c>
      <c r="J275" s="24">
        <v>4</v>
      </c>
      <c r="K275" s="24">
        <v>4</v>
      </c>
      <c r="L275" s="24"/>
      <c r="M275" s="24" t="b">
        <v>0</v>
      </c>
      <c r="N275" s="24" t="s">
        <v>477</v>
      </c>
      <c r="O275" s="15">
        <f>VLOOKUP(N275,Select!D:H,5,FALSE)</f>
        <v>0</v>
      </c>
    </row>
    <row r="276" spans="1:15">
      <c r="A276" s="23">
        <v>101621</v>
      </c>
      <c r="B276" s="1" t="s">
        <v>532</v>
      </c>
      <c r="C276" s="6">
        <f>VLOOKUP(B276,Select!A:H,8,FALSE)</f>
        <v>9</v>
      </c>
      <c r="D276" s="1" t="s">
        <v>36</v>
      </c>
      <c r="E276" s="6">
        <f>VLOOKUP(D276,Select!B:H,7,FALSE)</f>
        <v>1</v>
      </c>
      <c r="F276" s="1" t="s">
        <v>3</v>
      </c>
      <c r="G276" s="6">
        <f>VLOOKUP(F276,Select!C:H,6,FALSE)</f>
        <v>0</v>
      </c>
      <c r="H276" s="24" t="s">
        <v>865</v>
      </c>
      <c r="I276" s="24">
        <v>3</v>
      </c>
      <c r="J276" s="24">
        <v>1</v>
      </c>
      <c r="K276" s="24">
        <v>4</v>
      </c>
      <c r="L276" s="24"/>
      <c r="M276" s="24" t="b">
        <v>0</v>
      </c>
      <c r="N276" s="24" t="s">
        <v>477</v>
      </c>
      <c r="O276" s="15">
        <f>VLOOKUP(N276,Select!D:H,5,FALSE)</f>
        <v>0</v>
      </c>
    </row>
    <row r="277" spans="1:15">
      <c r="A277" s="23">
        <v>101622</v>
      </c>
      <c r="B277" s="5" t="s">
        <v>532</v>
      </c>
      <c r="C277" s="6">
        <f>VLOOKUP(B277,Select!A:H,8,FALSE)</f>
        <v>9</v>
      </c>
      <c r="D277" s="5" t="s">
        <v>36</v>
      </c>
      <c r="E277" s="6">
        <f>VLOOKUP(D277,Select!B:H,7,FALSE)</f>
        <v>1</v>
      </c>
      <c r="F277" s="5" t="s">
        <v>3</v>
      </c>
      <c r="G277" s="6">
        <f>VLOOKUP(F277,Select!C:H,6,FALSE)</f>
        <v>0</v>
      </c>
      <c r="H277" s="24" t="s">
        <v>866</v>
      </c>
      <c r="I277" s="24">
        <v>3</v>
      </c>
      <c r="J277" s="24">
        <v>2</v>
      </c>
      <c r="K277" s="24">
        <v>3</v>
      </c>
      <c r="L277" s="24"/>
      <c r="M277" s="24" t="b">
        <v>0</v>
      </c>
      <c r="N277" s="24" t="s">
        <v>477</v>
      </c>
      <c r="O277" s="15">
        <f>VLOOKUP(N277,Select!D:H,5,FALSE)</f>
        <v>0</v>
      </c>
    </row>
    <row r="278" spans="1:15">
      <c r="A278" s="23">
        <v>101623</v>
      </c>
      <c r="B278" s="1" t="s">
        <v>532</v>
      </c>
      <c r="C278" s="6">
        <f>VLOOKUP(B278,Select!A:H,8,FALSE)</f>
        <v>9</v>
      </c>
      <c r="D278" s="1" t="s">
        <v>36</v>
      </c>
      <c r="E278" s="6">
        <f>VLOOKUP(D278,Select!B:H,7,FALSE)</f>
        <v>1</v>
      </c>
      <c r="F278" s="1" t="s">
        <v>3</v>
      </c>
      <c r="G278" s="6">
        <f>VLOOKUP(F278,Select!C:H,6,FALSE)</f>
        <v>0</v>
      </c>
      <c r="H278" s="24" t="s">
        <v>867</v>
      </c>
      <c r="I278" s="24">
        <v>3</v>
      </c>
      <c r="J278" s="24">
        <v>3</v>
      </c>
      <c r="K278" s="24">
        <v>2</v>
      </c>
      <c r="L278" s="24"/>
      <c r="M278" s="24" t="b">
        <v>0</v>
      </c>
      <c r="N278" s="24" t="s">
        <v>477</v>
      </c>
      <c r="O278" s="15">
        <f>VLOOKUP(N278,Select!D:H,5,FALSE)</f>
        <v>0</v>
      </c>
    </row>
    <row r="279" spans="1:15">
      <c r="A279" s="23">
        <v>101624</v>
      </c>
      <c r="B279" s="5" t="s">
        <v>532</v>
      </c>
      <c r="C279" s="6">
        <f>VLOOKUP(B279,Select!A:H,8,FALSE)</f>
        <v>9</v>
      </c>
      <c r="D279" s="5" t="s">
        <v>36</v>
      </c>
      <c r="E279" s="6">
        <f>VLOOKUP(D279,Select!B:H,7,FALSE)</f>
        <v>1</v>
      </c>
      <c r="F279" s="5" t="s">
        <v>3</v>
      </c>
      <c r="G279" s="6">
        <f>VLOOKUP(F279,Select!C:H,6,FALSE)</f>
        <v>0</v>
      </c>
      <c r="H279" s="24" t="s">
        <v>868</v>
      </c>
      <c r="I279" s="24">
        <v>4</v>
      </c>
      <c r="J279" s="24">
        <v>3</v>
      </c>
      <c r="K279" s="24">
        <v>3</v>
      </c>
      <c r="L279" s="24"/>
      <c r="M279" s="24" t="b">
        <v>0</v>
      </c>
      <c r="N279" s="24" t="s">
        <v>477</v>
      </c>
      <c r="O279" s="15">
        <f>VLOOKUP(N279,Select!D:H,5,FALSE)</f>
        <v>0</v>
      </c>
    </row>
    <row r="280" spans="1:15">
      <c r="A280" s="23">
        <v>101625</v>
      </c>
      <c r="B280" s="1" t="s">
        <v>532</v>
      </c>
      <c r="C280" s="6">
        <f>VLOOKUP(B280,Select!A:H,8,FALSE)</f>
        <v>9</v>
      </c>
      <c r="D280" s="1" t="s">
        <v>36</v>
      </c>
      <c r="E280" s="6">
        <f>VLOOKUP(D280,Select!B:H,7,FALSE)</f>
        <v>1</v>
      </c>
      <c r="F280" s="1" t="s">
        <v>3</v>
      </c>
      <c r="G280" s="6">
        <f>VLOOKUP(F280,Select!C:H,6,FALSE)</f>
        <v>0</v>
      </c>
      <c r="H280" s="24" t="s">
        <v>869</v>
      </c>
      <c r="I280" s="24">
        <v>5</v>
      </c>
      <c r="J280" s="24">
        <v>4</v>
      </c>
      <c r="K280" s="24">
        <v>2</v>
      </c>
      <c r="L280" s="24"/>
      <c r="M280" s="24" t="b">
        <v>0</v>
      </c>
      <c r="N280" s="24" t="s">
        <v>477</v>
      </c>
      <c r="O280" s="15">
        <f>VLOOKUP(N280,Select!D:H,5,FALSE)</f>
        <v>0</v>
      </c>
    </row>
    <row r="281" spans="1:15">
      <c r="A281" s="23">
        <v>101626</v>
      </c>
      <c r="B281" s="5" t="s">
        <v>532</v>
      </c>
      <c r="C281" s="6">
        <f>VLOOKUP(B281,Select!A:H,8,FALSE)</f>
        <v>9</v>
      </c>
      <c r="D281" s="5" t="s">
        <v>36</v>
      </c>
      <c r="E281" s="6">
        <f>VLOOKUP(D281,Select!B:H,7,FALSE)</f>
        <v>1</v>
      </c>
      <c r="F281" s="5" t="s">
        <v>3</v>
      </c>
      <c r="G281" s="6">
        <f>VLOOKUP(F281,Select!C:H,6,FALSE)</f>
        <v>0</v>
      </c>
      <c r="H281" s="24" t="s">
        <v>870</v>
      </c>
      <c r="I281" s="24">
        <v>7</v>
      </c>
      <c r="J281" s="24">
        <v>4</v>
      </c>
      <c r="K281" s="24">
        <v>4</v>
      </c>
      <c r="L281" s="24"/>
      <c r="M281" s="24" t="b">
        <v>0</v>
      </c>
      <c r="N281" s="24" t="s">
        <v>477</v>
      </c>
      <c r="O281" s="15">
        <f>VLOOKUP(N281,Select!D:H,5,FALSE)</f>
        <v>0</v>
      </c>
    </row>
    <row r="282" spans="1:15">
      <c r="A282" s="23">
        <v>101627</v>
      </c>
      <c r="B282" s="1" t="s">
        <v>532</v>
      </c>
      <c r="C282" s="6">
        <f>VLOOKUP(B282,Select!A:H,8,FALSE)</f>
        <v>9</v>
      </c>
      <c r="D282" s="1" t="s">
        <v>36</v>
      </c>
      <c r="E282" s="6">
        <f>VLOOKUP(D282,Select!B:H,7,FALSE)</f>
        <v>1</v>
      </c>
      <c r="F282" s="1" t="s">
        <v>23</v>
      </c>
      <c r="G282" s="6">
        <f>VLOOKUP(F282,Select!C:H,6,FALSE)</f>
        <v>1</v>
      </c>
      <c r="H282" s="24" t="s">
        <v>871</v>
      </c>
      <c r="I282" s="24">
        <v>4</v>
      </c>
      <c r="J282" s="24"/>
      <c r="K282" s="24"/>
      <c r="L282" s="24"/>
      <c r="M282" s="24" t="b">
        <v>0</v>
      </c>
      <c r="N282" s="24" t="s">
        <v>477</v>
      </c>
      <c r="O282" s="15">
        <f>VLOOKUP(N282,Select!D:H,5,FALSE)</f>
        <v>0</v>
      </c>
    </row>
    <row r="283" spans="1:15">
      <c r="A283" s="23">
        <v>101628</v>
      </c>
      <c r="B283" s="5" t="s">
        <v>532</v>
      </c>
      <c r="C283" s="6">
        <f>VLOOKUP(B283,Select!A:H,8,FALSE)</f>
        <v>9</v>
      </c>
      <c r="D283" s="5" t="s">
        <v>36</v>
      </c>
      <c r="E283" s="6">
        <f>VLOOKUP(D283,Select!B:H,7,FALSE)</f>
        <v>1</v>
      </c>
      <c r="F283" s="5" t="s">
        <v>23</v>
      </c>
      <c r="G283" s="6">
        <f>VLOOKUP(F283,Select!C:H,6,FALSE)</f>
        <v>1</v>
      </c>
      <c r="H283" s="24" t="s">
        <v>872</v>
      </c>
      <c r="I283" s="24">
        <v>5</v>
      </c>
      <c r="J283" s="24"/>
      <c r="K283" s="24"/>
      <c r="L283" s="24"/>
      <c r="M283" s="24" t="b">
        <v>0</v>
      </c>
      <c r="N283" s="24" t="s">
        <v>477</v>
      </c>
      <c r="O283" s="15">
        <f>VLOOKUP(N283,Select!D:H,5,FALSE)</f>
        <v>0</v>
      </c>
    </row>
    <row r="284" spans="1:15">
      <c r="A284" s="23">
        <v>101629</v>
      </c>
      <c r="B284" s="1" t="s">
        <v>532</v>
      </c>
      <c r="C284" s="6">
        <f>VLOOKUP(B284,Select!A:H,8,FALSE)</f>
        <v>9</v>
      </c>
      <c r="D284" s="1" t="s">
        <v>36</v>
      </c>
      <c r="E284" s="6">
        <f>VLOOKUP(D284,Select!B:H,7,FALSE)</f>
        <v>1</v>
      </c>
      <c r="F284" s="1" t="s">
        <v>34</v>
      </c>
      <c r="G284" s="6">
        <f>VLOOKUP(F284,Select!C:H,6,FALSE)</f>
        <v>2</v>
      </c>
      <c r="H284" s="24" t="s">
        <v>873</v>
      </c>
      <c r="I284" s="24">
        <v>1</v>
      </c>
      <c r="J284" s="24"/>
      <c r="K284" s="24"/>
      <c r="L284" s="24"/>
      <c r="M284" s="24" t="b">
        <v>0</v>
      </c>
      <c r="N284" s="24" t="s">
        <v>477</v>
      </c>
      <c r="O284" s="15">
        <f>VLOOKUP(N284,Select!D:H,5,FALSE)</f>
        <v>0</v>
      </c>
    </row>
    <row r="285" spans="1:15">
      <c r="A285" s="23">
        <v>101630</v>
      </c>
      <c r="B285" s="5" t="s">
        <v>532</v>
      </c>
      <c r="C285" s="6">
        <f>VLOOKUP(B285,Select!A:H,8,FALSE)</f>
        <v>9</v>
      </c>
      <c r="D285" s="5" t="s">
        <v>21</v>
      </c>
      <c r="E285" s="6">
        <f>VLOOKUP(D285,Select!B:H,7,FALSE)</f>
        <v>2</v>
      </c>
      <c r="F285" s="5" t="s">
        <v>3</v>
      </c>
      <c r="G285" s="6">
        <f>VLOOKUP(F285,Select!C:H,6,FALSE)</f>
        <v>0</v>
      </c>
      <c r="H285" s="24" t="s">
        <v>874</v>
      </c>
      <c r="I285" s="24">
        <v>3</v>
      </c>
      <c r="J285" s="24">
        <v>2</v>
      </c>
      <c r="K285" s="24">
        <v>2</v>
      </c>
      <c r="L285" s="24"/>
      <c r="M285" s="24" t="b">
        <v>0</v>
      </c>
      <c r="N285" s="24" t="s">
        <v>477</v>
      </c>
      <c r="O285" s="15">
        <f>VLOOKUP(N285,Select!D:H,5,FALSE)</f>
        <v>0</v>
      </c>
    </row>
    <row r="286" spans="1:15">
      <c r="A286" s="23">
        <v>101631</v>
      </c>
      <c r="B286" s="1" t="s">
        <v>532</v>
      </c>
      <c r="C286" s="6">
        <f>VLOOKUP(B286,Select!A:H,8,FALSE)</f>
        <v>9</v>
      </c>
      <c r="D286" s="1" t="s">
        <v>21</v>
      </c>
      <c r="E286" s="6">
        <f>VLOOKUP(D286,Select!B:H,7,FALSE)</f>
        <v>2</v>
      </c>
      <c r="F286" s="1" t="s">
        <v>3</v>
      </c>
      <c r="G286" s="6">
        <f>VLOOKUP(F286,Select!C:H,6,FALSE)</f>
        <v>0</v>
      </c>
      <c r="H286" s="24" t="s">
        <v>875</v>
      </c>
      <c r="I286" s="24">
        <v>4</v>
      </c>
      <c r="J286" s="24">
        <v>2</v>
      </c>
      <c r="K286" s="24">
        <v>5</v>
      </c>
      <c r="L286" s="24"/>
      <c r="M286" s="24" t="b">
        <v>0</v>
      </c>
      <c r="N286" s="24" t="s">
        <v>477</v>
      </c>
      <c r="O286" s="15">
        <f>VLOOKUP(N286,Select!D:H,5,FALSE)</f>
        <v>0</v>
      </c>
    </row>
    <row r="287" spans="1:15">
      <c r="A287" s="23">
        <v>101632</v>
      </c>
      <c r="B287" s="5" t="s">
        <v>532</v>
      </c>
      <c r="C287" s="6">
        <f>VLOOKUP(B287,Select!A:H,8,FALSE)</f>
        <v>9</v>
      </c>
      <c r="D287" s="5" t="s">
        <v>21</v>
      </c>
      <c r="E287" s="6">
        <f>VLOOKUP(D287,Select!B:H,7,FALSE)</f>
        <v>2</v>
      </c>
      <c r="F287" s="5" t="s">
        <v>3</v>
      </c>
      <c r="G287" s="6">
        <f>VLOOKUP(F287,Select!C:H,6,FALSE)</f>
        <v>0</v>
      </c>
      <c r="H287" s="24" t="s">
        <v>876</v>
      </c>
      <c r="I287" s="24">
        <v>5</v>
      </c>
      <c r="J287" s="24">
        <v>3</v>
      </c>
      <c r="K287" s="24">
        <v>5</v>
      </c>
      <c r="L287" s="24"/>
      <c r="M287" s="24" t="b">
        <v>0</v>
      </c>
      <c r="N287" s="24" t="s">
        <v>477</v>
      </c>
      <c r="O287" s="15">
        <f>VLOOKUP(N287,Select!D:H,5,FALSE)</f>
        <v>0</v>
      </c>
    </row>
    <row r="288" spans="1:15">
      <c r="A288" s="23">
        <v>101633</v>
      </c>
      <c r="B288" s="1" t="s">
        <v>532</v>
      </c>
      <c r="C288" s="6">
        <f>VLOOKUP(B288,Select!A:H,8,FALSE)</f>
        <v>9</v>
      </c>
      <c r="D288" s="1" t="s">
        <v>21</v>
      </c>
      <c r="E288" s="6">
        <f>VLOOKUP(D288,Select!B:H,7,FALSE)</f>
        <v>2</v>
      </c>
      <c r="F288" s="1" t="s">
        <v>3</v>
      </c>
      <c r="G288" s="6">
        <f>VLOOKUP(F288,Select!C:H,6,FALSE)</f>
        <v>0</v>
      </c>
      <c r="H288" s="24" t="s">
        <v>877</v>
      </c>
      <c r="I288" s="24">
        <v>6</v>
      </c>
      <c r="J288" s="24">
        <v>5</v>
      </c>
      <c r="K288" s="24">
        <v>4</v>
      </c>
      <c r="L288" s="24"/>
      <c r="M288" s="24" t="b">
        <v>0</v>
      </c>
      <c r="N288" s="24" t="s">
        <v>477</v>
      </c>
      <c r="O288" s="15">
        <f>VLOOKUP(N288,Select!D:H,5,FALSE)</f>
        <v>0</v>
      </c>
    </row>
    <row r="289" spans="1:15">
      <c r="A289" s="23">
        <v>101634</v>
      </c>
      <c r="B289" s="5" t="s">
        <v>532</v>
      </c>
      <c r="C289" s="6">
        <f>VLOOKUP(B289,Select!A:H,8,FALSE)</f>
        <v>9</v>
      </c>
      <c r="D289" s="5" t="s">
        <v>21</v>
      </c>
      <c r="E289" s="6">
        <f>VLOOKUP(D289,Select!B:H,7,FALSE)</f>
        <v>2</v>
      </c>
      <c r="F289" s="5" t="s">
        <v>3</v>
      </c>
      <c r="G289" s="6">
        <f>VLOOKUP(F289,Select!C:H,6,FALSE)</f>
        <v>0</v>
      </c>
      <c r="H289" s="24" t="s">
        <v>878</v>
      </c>
      <c r="I289" s="24">
        <v>8</v>
      </c>
      <c r="J289" s="24">
        <v>7</v>
      </c>
      <c r="K289" s="24">
        <v>7</v>
      </c>
      <c r="L289" s="24"/>
      <c r="M289" s="24" t="b">
        <v>0</v>
      </c>
      <c r="N289" s="24" t="s">
        <v>477</v>
      </c>
      <c r="O289" s="15">
        <f>VLOOKUP(N289,Select!D:H,5,FALSE)</f>
        <v>0</v>
      </c>
    </row>
    <row r="290" spans="1:15">
      <c r="A290" s="23">
        <v>101635</v>
      </c>
      <c r="B290" s="1" t="s">
        <v>532</v>
      </c>
      <c r="C290" s="6">
        <f>VLOOKUP(B290,Select!A:H,8,FALSE)</f>
        <v>9</v>
      </c>
      <c r="D290" s="1" t="s">
        <v>21</v>
      </c>
      <c r="E290" s="6">
        <f>VLOOKUP(D290,Select!B:H,7,FALSE)</f>
        <v>2</v>
      </c>
      <c r="F290" s="1" t="s">
        <v>3</v>
      </c>
      <c r="G290" s="6">
        <f>VLOOKUP(F290,Select!C:H,6,FALSE)</f>
        <v>0</v>
      </c>
      <c r="H290" s="24" t="s">
        <v>879</v>
      </c>
      <c r="I290" s="24">
        <v>9</v>
      </c>
      <c r="J290" s="24">
        <v>5</v>
      </c>
      <c r="K290" s="24">
        <v>5</v>
      </c>
      <c r="L290" s="24"/>
      <c r="M290" s="24" t="b">
        <v>0</v>
      </c>
      <c r="N290" s="24" t="s">
        <v>477</v>
      </c>
      <c r="O290" s="15">
        <f>VLOOKUP(N290,Select!D:H,5,FALSE)</f>
        <v>0</v>
      </c>
    </row>
    <row r="291" spans="1:15">
      <c r="A291" s="23">
        <v>101636</v>
      </c>
      <c r="B291" s="5" t="s">
        <v>532</v>
      </c>
      <c r="C291" s="6">
        <f>VLOOKUP(B291,Select!A:H,8,FALSE)</f>
        <v>9</v>
      </c>
      <c r="D291" s="5" t="s">
        <v>21</v>
      </c>
      <c r="E291" s="6">
        <f>VLOOKUP(D291,Select!B:H,7,FALSE)</f>
        <v>2</v>
      </c>
      <c r="F291" s="5" t="s">
        <v>23</v>
      </c>
      <c r="G291" s="6">
        <f>VLOOKUP(F291,Select!C:H,6,FALSE)</f>
        <v>1</v>
      </c>
      <c r="H291" s="24" t="s">
        <v>880</v>
      </c>
      <c r="I291" s="24">
        <v>5</v>
      </c>
      <c r="J291" s="24"/>
      <c r="K291" s="24"/>
      <c r="L291" s="24"/>
      <c r="M291" s="24" t="b">
        <v>0</v>
      </c>
      <c r="N291" s="24" t="s">
        <v>477</v>
      </c>
      <c r="O291" s="15">
        <f>VLOOKUP(N291,Select!D:H,5,FALSE)</f>
        <v>0</v>
      </c>
    </row>
    <row r="292" spans="1:15">
      <c r="A292" s="23">
        <v>101637</v>
      </c>
      <c r="B292" s="1" t="s">
        <v>532</v>
      </c>
      <c r="C292" s="6">
        <f>VLOOKUP(B292,Select!A:H,8,FALSE)</f>
        <v>9</v>
      </c>
      <c r="D292" s="1" t="s">
        <v>21</v>
      </c>
      <c r="E292" s="6">
        <f>VLOOKUP(D292,Select!B:H,7,FALSE)</f>
        <v>2</v>
      </c>
      <c r="F292" s="1" t="s">
        <v>23</v>
      </c>
      <c r="G292" s="6">
        <f>VLOOKUP(F292,Select!C:H,6,FALSE)</f>
        <v>1</v>
      </c>
      <c r="H292" s="24" t="s">
        <v>881</v>
      </c>
      <c r="I292" s="24">
        <v>8</v>
      </c>
      <c r="J292" s="24"/>
      <c r="K292" s="24"/>
      <c r="L292" s="24"/>
      <c r="M292" s="24" t="b">
        <v>0</v>
      </c>
      <c r="N292" s="24" t="s">
        <v>477</v>
      </c>
      <c r="O292" s="15">
        <f>VLOOKUP(N292,Select!D:H,5,FALSE)</f>
        <v>0</v>
      </c>
    </row>
    <row r="293" spans="1:15">
      <c r="A293" s="23">
        <v>101638</v>
      </c>
      <c r="B293" s="5" t="s">
        <v>532</v>
      </c>
      <c r="C293" s="6">
        <f>VLOOKUP(B293,Select!A:H,8,FALSE)</f>
        <v>9</v>
      </c>
      <c r="D293" s="5" t="s">
        <v>21</v>
      </c>
      <c r="E293" s="6">
        <f>VLOOKUP(D293,Select!B:H,7,FALSE)</f>
        <v>2</v>
      </c>
      <c r="F293" s="5" t="s">
        <v>34</v>
      </c>
      <c r="G293" s="6">
        <f>VLOOKUP(F293,Select!C:H,6,FALSE)</f>
        <v>2</v>
      </c>
      <c r="H293" s="24" t="s">
        <v>882</v>
      </c>
      <c r="I293" s="24">
        <v>3</v>
      </c>
      <c r="J293" s="24"/>
      <c r="K293" s="24"/>
      <c r="L293" s="24"/>
      <c r="M293" s="24" t="b">
        <v>0</v>
      </c>
      <c r="N293" s="24" t="s">
        <v>477</v>
      </c>
      <c r="O293" s="15">
        <f>VLOOKUP(N293,Select!D:H,5,FALSE)</f>
        <v>0</v>
      </c>
    </row>
    <row r="294" spans="1:15">
      <c r="A294" s="23">
        <v>101639</v>
      </c>
      <c r="B294" s="1" t="s">
        <v>532</v>
      </c>
      <c r="C294" s="6">
        <f>VLOOKUP(B294,Select!A:H,8,FALSE)</f>
        <v>9</v>
      </c>
      <c r="D294" s="1" t="s">
        <v>30</v>
      </c>
      <c r="E294" s="6">
        <f>VLOOKUP(D294,Select!B:H,7,FALSE)</f>
        <v>3</v>
      </c>
      <c r="F294" s="1" t="s">
        <v>3</v>
      </c>
      <c r="G294" s="6">
        <f>VLOOKUP(F294,Select!C:H,6,FALSE)</f>
        <v>0</v>
      </c>
      <c r="H294" s="24" t="s">
        <v>883</v>
      </c>
      <c r="I294" s="24">
        <v>4</v>
      </c>
      <c r="J294" s="24">
        <v>6</v>
      </c>
      <c r="K294" s="24">
        <v>4</v>
      </c>
      <c r="L294" s="24"/>
      <c r="M294" s="24" t="b">
        <v>0</v>
      </c>
      <c r="N294" s="24" t="s">
        <v>477</v>
      </c>
      <c r="O294" s="15">
        <f>VLOOKUP(N294,Select!D:H,5,FALSE)</f>
        <v>0</v>
      </c>
    </row>
    <row r="295" spans="1:15">
      <c r="A295" s="23">
        <v>101640</v>
      </c>
      <c r="B295" s="5" t="s">
        <v>532</v>
      </c>
      <c r="C295" s="6">
        <f>VLOOKUP(B295,Select!A:H,8,FALSE)</f>
        <v>9</v>
      </c>
      <c r="D295" s="5" t="s">
        <v>30</v>
      </c>
      <c r="E295" s="6">
        <f>VLOOKUP(D295,Select!B:H,7,FALSE)</f>
        <v>3</v>
      </c>
      <c r="F295" s="5" t="s">
        <v>3</v>
      </c>
      <c r="G295" s="6">
        <f>VLOOKUP(F295,Select!C:H,6,FALSE)</f>
        <v>0</v>
      </c>
      <c r="H295" s="24" t="s">
        <v>884</v>
      </c>
      <c r="I295" s="24">
        <v>5</v>
      </c>
      <c r="J295" s="24">
        <v>6</v>
      </c>
      <c r="K295" s="24">
        <v>6</v>
      </c>
      <c r="L295" s="24"/>
      <c r="M295" s="24" t="b">
        <v>0</v>
      </c>
      <c r="N295" s="24" t="s">
        <v>477</v>
      </c>
      <c r="O295" s="15">
        <f>VLOOKUP(N295,Select!D:H,5,FALSE)</f>
        <v>0</v>
      </c>
    </row>
    <row r="296" spans="1:15">
      <c r="A296" s="23">
        <v>101641</v>
      </c>
      <c r="B296" s="1" t="s">
        <v>532</v>
      </c>
      <c r="C296" s="6">
        <f>VLOOKUP(B296,Select!A:H,8,FALSE)</f>
        <v>9</v>
      </c>
      <c r="D296" s="1" t="s">
        <v>30</v>
      </c>
      <c r="E296" s="6">
        <f>VLOOKUP(D296,Select!B:H,7,FALSE)</f>
        <v>3</v>
      </c>
      <c r="F296" s="1" t="s">
        <v>3</v>
      </c>
      <c r="G296" s="6">
        <f>VLOOKUP(F296,Select!C:H,6,FALSE)</f>
        <v>0</v>
      </c>
      <c r="H296" s="24" t="s">
        <v>885</v>
      </c>
      <c r="I296" s="24">
        <v>6</v>
      </c>
      <c r="J296" s="24">
        <v>4</v>
      </c>
      <c r="K296" s="24">
        <v>4</v>
      </c>
      <c r="L296" s="24"/>
      <c r="M296" s="24" t="b">
        <v>0</v>
      </c>
      <c r="N296" s="24" t="s">
        <v>477</v>
      </c>
      <c r="O296" s="15">
        <f>VLOOKUP(N296,Select!D:H,5,FALSE)</f>
        <v>0</v>
      </c>
    </row>
    <row r="297" spans="1:15">
      <c r="A297" s="23">
        <v>101642</v>
      </c>
      <c r="B297" s="5" t="s">
        <v>532</v>
      </c>
      <c r="C297" s="6">
        <f>VLOOKUP(B297,Select!A:H,8,FALSE)</f>
        <v>9</v>
      </c>
      <c r="D297" s="5" t="s">
        <v>10</v>
      </c>
      <c r="E297" s="6">
        <f>VLOOKUP(D297,Select!B:H,7,FALSE)</f>
        <v>0</v>
      </c>
      <c r="F297" s="5" t="s">
        <v>3</v>
      </c>
      <c r="G297" s="6">
        <f>VLOOKUP(F297,Select!C:H,6,FALSE)</f>
        <v>0</v>
      </c>
      <c r="H297" s="24" t="s">
        <v>844</v>
      </c>
      <c r="I297" s="24">
        <v>1</v>
      </c>
      <c r="J297" s="24">
        <v>1</v>
      </c>
      <c r="K297" s="24">
        <v>1</v>
      </c>
      <c r="L297" s="24"/>
      <c r="M297" s="24" t="b">
        <v>1</v>
      </c>
      <c r="N297" s="24" t="s">
        <v>477</v>
      </c>
      <c r="O297" s="15">
        <f>VLOOKUP(N297,Select!D:H,5,FALSE)</f>
        <v>0</v>
      </c>
    </row>
    <row r="298" spans="1:15">
      <c r="A298" s="23">
        <v>101700</v>
      </c>
      <c r="B298" s="1" t="s">
        <v>29</v>
      </c>
      <c r="C298" s="6">
        <f>VLOOKUP(B298,Select!A:H,8,FALSE)</f>
        <v>6</v>
      </c>
      <c r="D298" s="1" t="s">
        <v>10</v>
      </c>
      <c r="E298" s="6">
        <f>VLOOKUP(D298,Select!B:H,7,FALSE)</f>
        <v>0</v>
      </c>
      <c r="F298" s="1" t="s">
        <v>3</v>
      </c>
      <c r="G298" s="6">
        <f>VLOOKUP(F298,Select!C:H,6,FALSE)</f>
        <v>0</v>
      </c>
      <c r="H298" s="24" t="s">
        <v>886</v>
      </c>
      <c r="I298" s="24">
        <v>2</v>
      </c>
      <c r="J298" s="24">
        <v>2</v>
      </c>
      <c r="K298" s="24">
        <v>1</v>
      </c>
      <c r="L298" s="24"/>
      <c r="M298" s="24" t="b">
        <v>0</v>
      </c>
      <c r="N298" s="24" t="s">
        <v>477</v>
      </c>
      <c r="O298" s="15">
        <f>VLOOKUP(N298,Select!D:H,5,FALSE)</f>
        <v>0</v>
      </c>
    </row>
    <row r="299" spans="1:15">
      <c r="A299" s="23">
        <v>101701</v>
      </c>
      <c r="B299" s="5" t="s">
        <v>29</v>
      </c>
      <c r="C299" s="6">
        <f>VLOOKUP(B299,Select!A:H,8,FALSE)</f>
        <v>6</v>
      </c>
      <c r="D299" s="5" t="s">
        <v>10</v>
      </c>
      <c r="E299" s="6">
        <f>VLOOKUP(D299,Select!B:H,7,FALSE)</f>
        <v>0</v>
      </c>
      <c r="F299" s="5" t="s">
        <v>3</v>
      </c>
      <c r="G299" s="6">
        <f>VLOOKUP(F299,Select!C:H,6,FALSE)</f>
        <v>0</v>
      </c>
      <c r="H299" s="24" t="s">
        <v>887</v>
      </c>
      <c r="I299" s="24">
        <v>2</v>
      </c>
      <c r="J299" s="24">
        <v>2</v>
      </c>
      <c r="K299" s="24">
        <v>2</v>
      </c>
      <c r="L299" s="24"/>
      <c r="M299" s="24" t="b">
        <v>0</v>
      </c>
      <c r="N299" s="24" t="s">
        <v>477</v>
      </c>
      <c r="O299" s="15">
        <f>VLOOKUP(N299,Select!D:H,5,FALSE)</f>
        <v>0</v>
      </c>
    </row>
    <row r="300" spans="1:15">
      <c r="A300" s="23">
        <v>101702</v>
      </c>
      <c r="B300" s="1" t="s">
        <v>29</v>
      </c>
      <c r="C300" s="6">
        <f>VLOOKUP(B300,Select!A:H,8,FALSE)</f>
        <v>6</v>
      </c>
      <c r="D300" s="1" t="s">
        <v>10</v>
      </c>
      <c r="E300" s="6">
        <f>VLOOKUP(D300,Select!B:H,7,FALSE)</f>
        <v>0</v>
      </c>
      <c r="F300" s="1" t="s">
        <v>3</v>
      </c>
      <c r="G300" s="6">
        <f>VLOOKUP(F300,Select!C:H,6,FALSE)</f>
        <v>0</v>
      </c>
      <c r="H300" s="24" t="s">
        <v>888</v>
      </c>
      <c r="I300" s="24">
        <v>2</v>
      </c>
      <c r="J300" s="24">
        <v>2</v>
      </c>
      <c r="K300" s="24">
        <v>2</v>
      </c>
      <c r="L300" s="24"/>
      <c r="M300" s="24" t="b">
        <v>0</v>
      </c>
      <c r="N300" s="24" t="s">
        <v>477</v>
      </c>
      <c r="O300" s="15">
        <f>VLOOKUP(N300,Select!D:H,5,FALSE)</f>
        <v>0</v>
      </c>
    </row>
    <row r="301" spans="1:15">
      <c r="A301" s="23">
        <v>101703</v>
      </c>
      <c r="B301" s="5" t="s">
        <v>29</v>
      </c>
      <c r="C301" s="6">
        <f>VLOOKUP(B301,Select!A:H,8,FALSE)</f>
        <v>6</v>
      </c>
      <c r="D301" s="5" t="s">
        <v>10</v>
      </c>
      <c r="E301" s="6">
        <f>VLOOKUP(D301,Select!B:H,7,FALSE)</f>
        <v>0</v>
      </c>
      <c r="F301" s="5" t="s">
        <v>3</v>
      </c>
      <c r="G301" s="6">
        <f>VLOOKUP(F301,Select!C:H,6,FALSE)</f>
        <v>0</v>
      </c>
      <c r="H301" s="24" t="s">
        <v>889</v>
      </c>
      <c r="I301" s="24">
        <v>3</v>
      </c>
      <c r="J301" s="24">
        <v>3</v>
      </c>
      <c r="K301" s="24">
        <v>2</v>
      </c>
      <c r="L301" s="24"/>
      <c r="M301" s="24" t="b">
        <v>0</v>
      </c>
      <c r="N301" s="24" t="s">
        <v>477</v>
      </c>
      <c r="O301" s="15">
        <f>VLOOKUP(N301,Select!D:H,5,FALSE)</f>
        <v>0</v>
      </c>
    </row>
    <row r="302" spans="1:15">
      <c r="A302" s="23">
        <v>101704</v>
      </c>
      <c r="B302" s="1" t="s">
        <v>29</v>
      </c>
      <c r="C302" s="6">
        <f>VLOOKUP(B302,Select!A:H,8,FALSE)</f>
        <v>6</v>
      </c>
      <c r="D302" s="1" t="s">
        <v>10</v>
      </c>
      <c r="E302" s="6">
        <f>VLOOKUP(D302,Select!B:H,7,FALSE)</f>
        <v>0</v>
      </c>
      <c r="F302" s="1" t="s">
        <v>3</v>
      </c>
      <c r="G302" s="6">
        <f>VLOOKUP(F302,Select!C:H,6,FALSE)</f>
        <v>0</v>
      </c>
      <c r="H302" s="24" t="s">
        <v>890</v>
      </c>
      <c r="I302" s="24">
        <v>3</v>
      </c>
      <c r="J302" s="24">
        <v>2</v>
      </c>
      <c r="K302" s="24">
        <v>3</v>
      </c>
      <c r="L302" s="24"/>
      <c r="M302" s="24" t="b">
        <v>0</v>
      </c>
      <c r="N302" s="24" t="s">
        <v>477</v>
      </c>
      <c r="O302" s="15">
        <f>VLOOKUP(N302,Select!D:H,5,FALSE)</f>
        <v>0</v>
      </c>
    </row>
    <row r="303" spans="1:15">
      <c r="A303" s="23">
        <v>101705</v>
      </c>
      <c r="B303" s="5" t="s">
        <v>29</v>
      </c>
      <c r="C303" s="6">
        <f>VLOOKUP(B303,Select!A:H,8,FALSE)</f>
        <v>6</v>
      </c>
      <c r="D303" s="5" t="s">
        <v>10</v>
      </c>
      <c r="E303" s="6">
        <f>VLOOKUP(D303,Select!B:H,7,FALSE)</f>
        <v>0</v>
      </c>
      <c r="F303" s="5" t="s">
        <v>3</v>
      </c>
      <c r="G303" s="6">
        <f>VLOOKUP(F303,Select!C:H,6,FALSE)</f>
        <v>0</v>
      </c>
      <c r="H303" s="24" t="s">
        <v>891</v>
      </c>
      <c r="I303" s="24">
        <v>4</v>
      </c>
      <c r="J303" s="24">
        <v>3</v>
      </c>
      <c r="K303" s="24">
        <v>4</v>
      </c>
      <c r="L303" s="24"/>
      <c r="M303" s="24" t="b">
        <v>0</v>
      </c>
      <c r="N303" s="24" t="s">
        <v>477</v>
      </c>
      <c r="O303" s="15">
        <f>VLOOKUP(N303,Select!D:H,5,FALSE)</f>
        <v>0</v>
      </c>
    </row>
    <row r="304" spans="1:15">
      <c r="A304" s="23">
        <v>101706</v>
      </c>
      <c r="B304" s="1" t="s">
        <v>29</v>
      </c>
      <c r="C304" s="6">
        <f>VLOOKUP(B304,Select!A:H,8,FALSE)</f>
        <v>6</v>
      </c>
      <c r="D304" s="1" t="s">
        <v>10</v>
      </c>
      <c r="E304" s="6">
        <f>VLOOKUP(D304,Select!B:H,7,FALSE)</f>
        <v>0</v>
      </c>
      <c r="F304" s="1" t="s">
        <v>3</v>
      </c>
      <c r="G304" s="6">
        <f>VLOOKUP(F304,Select!C:H,6,FALSE)</f>
        <v>0</v>
      </c>
      <c r="H304" s="24" t="s">
        <v>892</v>
      </c>
      <c r="I304" s="24">
        <v>4</v>
      </c>
      <c r="J304" s="24">
        <v>1</v>
      </c>
      <c r="K304" s="24">
        <v>6</v>
      </c>
      <c r="L304" s="24"/>
      <c r="M304" s="24" t="b">
        <v>0</v>
      </c>
      <c r="N304" s="24" t="s">
        <v>477</v>
      </c>
      <c r="O304" s="15">
        <f>VLOOKUP(N304,Select!D:H,5,FALSE)</f>
        <v>0</v>
      </c>
    </row>
    <row r="305" spans="1:15">
      <c r="A305" s="23">
        <v>101707</v>
      </c>
      <c r="B305" s="5" t="s">
        <v>29</v>
      </c>
      <c r="C305" s="6">
        <f>VLOOKUP(B305,Select!A:H,8,FALSE)</f>
        <v>6</v>
      </c>
      <c r="D305" s="5" t="s">
        <v>10</v>
      </c>
      <c r="E305" s="6">
        <f>VLOOKUP(D305,Select!B:H,7,FALSE)</f>
        <v>0</v>
      </c>
      <c r="F305" s="5" t="s">
        <v>3</v>
      </c>
      <c r="G305" s="6">
        <f>VLOOKUP(F305,Select!C:H,6,FALSE)</f>
        <v>0</v>
      </c>
      <c r="H305" s="24" t="s">
        <v>894</v>
      </c>
      <c r="I305" s="24">
        <v>5</v>
      </c>
      <c r="J305" s="24">
        <v>4</v>
      </c>
      <c r="K305" s="24">
        <v>4</v>
      </c>
      <c r="L305" s="24"/>
      <c r="M305" s="24" t="b">
        <v>0</v>
      </c>
      <c r="N305" s="24" t="s">
        <v>477</v>
      </c>
      <c r="O305" s="15">
        <f>VLOOKUP(N305,Select!D:H,5,FALSE)</f>
        <v>0</v>
      </c>
    </row>
    <row r="306" spans="1:15">
      <c r="A306" s="23">
        <v>101708</v>
      </c>
      <c r="B306" s="1" t="s">
        <v>29</v>
      </c>
      <c r="C306" s="6">
        <f>VLOOKUP(B306,Select!A:H,8,FALSE)</f>
        <v>6</v>
      </c>
      <c r="D306" s="1" t="s">
        <v>10</v>
      </c>
      <c r="E306" s="6">
        <f>VLOOKUP(D306,Select!B:H,7,FALSE)</f>
        <v>0</v>
      </c>
      <c r="F306" s="1" t="s">
        <v>3</v>
      </c>
      <c r="G306" s="6">
        <f>VLOOKUP(F306,Select!C:H,6,FALSE)</f>
        <v>0</v>
      </c>
      <c r="H306" s="24" t="s">
        <v>895</v>
      </c>
      <c r="I306" s="24">
        <v>6</v>
      </c>
      <c r="J306" s="24">
        <v>6</v>
      </c>
      <c r="K306" s="24">
        <v>4</v>
      </c>
      <c r="L306" s="24"/>
      <c r="M306" s="24" t="b">
        <v>0</v>
      </c>
      <c r="N306" s="24" t="s">
        <v>477</v>
      </c>
      <c r="O306" s="15">
        <f>VLOOKUP(N306,Select!D:H,5,FALSE)</f>
        <v>0</v>
      </c>
    </row>
    <row r="307" spans="1:15">
      <c r="A307" s="23">
        <v>101709</v>
      </c>
      <c r="B307" s="5" t="s">
        <v>29</v>
      </c>
      <c r="C307" s="6">
        <f>VLOOKUP(B307,Select!A:H,8,FALSE)</f>
        <v>6</v>
      </c>
      <c r="D307" s="5" t="s">
        <v>10</v>
      </c>
      <c r="E307" s="6">
        <f>VLOOKUP(D307,Select!B:H,7,FALSE)</f>
        <v>0</v>
      </c>
      <c r="F307" s="5" t="s">
        <v>3</v>
      </c>
      <c r="G307" s="6">
        <f>VLOOKUP(F307,Select!C:H,6,FALSE)</f>
        <v>0</v>
      </c>
      <c r="H307" s="24" t="s">
        <v>896</v>
      </c>
      <c r="I307" s="24">
        <v>8</v>
      </c>
      <c r="J307" s="24">
        <v>7</v>
      </c>
      <c r="K307" s="24">
        <v>7</v>
      </c>
      <c r="L307" s="24"/>
      <c r="M307" s="24" t="b">
        <v>0</v>
      </c>
      <c r="N307" s="24" t="s">
        <v>477</v>
      </c>
      <c r="O307" s="15">
        <f>VLOOKUP(N307,Select!D:H,5,FALSE)</f>
        <v>0</v>
      </c>
    </row>
    <row r="308" spans="1:15">
      <c r="A308" s="23">
        <v>101710</v>
      </c>
      <c r="B308" s="1" t="s">
        <v>29</v>
      </c>
      <c r="C308" s="6">
        <f>VLOOKUP(B308,Select!A:H,8,FALSE)</f>
        <v>6</v>
      </c>
      <c r="D308" s="1" t="s">
        <v>10</v>
      </c>
      <c r="E308" s="6">
        <f>VLOOKUP(D308,Select!B:H,7,FALSE)</f>
        <v>0</v>
      </c>
      <c r="F308" s="1" t="s">
        <v>23</v>
      </c>
      <c r="G308" s="6">
        <f>VLOOKUP(F308,Select!C:H,6,FALSE)</f>
        <v>1</v>
      </c>
      <c r="H308" s="24" t="s">
        <v>897</v>
      </c>
      <c r="I308" s="24">
        <v>3</v>
      </c>
      <c r="J308" s="24"/>
      <c r="K308" s="24"/>
      <c r="L308" s="24"/>
      <c r="M308" s="24" t="b">
        <v>0</v>
      </c>
      <c r="N308" s="24" t="s">
        <v>477</v>
      </c>
      <c r="O308" s="15">
        <f>VLOOKUP(N308,Select!D:H,5,FALSE)</f>
        <v>0</v>
      </c>
    </row>
    <row r="309" spans="1:15">
      <c r="A309" s="23">
        <v>101711</v>
      </c>
      <c r="B309" s="5" t="s">
        <v>29</v>
      </c>
      <c r="C309" s="6">
        <f>VLOOKUP(B309,Select!A:H,8,FALSE)</f>
        <v>6</v>
      </c>
      <c r="D309" s="5" t="s">
        <v>10</v>
      </c>
      <c r="E309" s="6">
        <f>VLOOKUP(D309,Select!B:H,7,FALSE)</f>
        <v>0</v>
      </c>
      <c r="F309" s="5" t="s">
        <v>23</v>
      </c>
      <c r="G309" s="6">
        <f>VLOOKUP(F309,Select!C:H,6,FALSE)</f>
        <v>1</v>
      </c>
      <c r="H309" s="24" t="s">
        <v>898</v>
      </c>
      <c r="I309" s="24">
        <v>3</v>
      </c>
      <c r="J309" s="24"/>
      <c r="K309" s="24"/>
      <c r="L309" s="24"/>
      <c r="M309" s="24" t="b">
        <v>0</v>
      </c>
      <c r="N309" s="24" t="s">
        <v>477</v>
      </c>
      <c r="O309" s="15">
        <f>VLOOKUP(N309,Select!D:H,5,FALSE)</f>
        <v>0</v>
      </c>
    </row>
    <row r="310" spans="1:15">
      <c r="A310" s="23">
        <v>101712</v>
      </c>
      <c r="B310" s="1" t="s">
        <v>29</v>
      </c>
      <c r="C310" s="6">
        <f>VLOOKUP(B310,Select!A:H,8,FALSE)</f>
        <v>6</v>
      </c>
      <c r="D310" s="1" t="s">
        <v>10</v>
      </c>
      <c r="E310" s="6">
        <f>VLOOKUP(D310,Select!B:H,7,FALSE)</f>
        <v>0</v>
      </c>
      <c r="F310" s="1" t="s">
        <v>34</v>
      </c>
      <c r="G310" s="6">
        <f>VLOOKUP(F310,Select!C:H,6,FALSE)</f>
        <v>2</v>
      </c>
      <c r="H310" s="24" t="s">
        <v>899</v>
      </c>
      <c r="I310" s="24">
        <v>1</v>
      </c>
      <c r="J310" s="24"/>
      <c r="K310" s="24"/>
      <c r="L310" s="24"/>
      <c r="M310" s="24" t="b">
        <v>0</v>
      </c>
      <c r="N310" s="24" t="s">
        <v>477</v>
      </c>
      <c r="O310" s="15">
        <f>VLOOKUP(N310,Select!D:H,5,FALSE)</f>
        <v>0</v>
      </c>
    </row>
    <row r="311" spans="1:15">
      <c r="A311" s="23">
        <v>101713</v>
      </c>
      <c r="B311" s="5" t="s">
        <v>29</v>
      </c>
      <c r="C311" s="6">
        <f>VLOOKUP(B311,Select!A:H,8,FALSE)</f>
        <v>6</v>
      </c>
      <c r="D311" s="5" t="s">
        <v>10</v>
      </c>
      <c r="E311" s="6">
        <f>VLOOKUP(D311,Select!B:H,7,FALSE)</f>
        <v>0</v>
      </c>
      <c r="F311" s="5" t="s">
        <v>34</v>
      </c>
      <c r="G311" s="6">
        <f>VLOOKUP(F311,Select!C:H,6,FALSE)</f>
        <v>2</v>
      </c>
      <c r="H311" s="24" t="s">
        <v>900</v>
      </c>
      <c r="I311" s="24">
        <v>1</v>
      </c>
      <c r="J311" s="24"/>
      <c r="K311" s="24"/>
      <c r="L311" s="24"/>
      <c r="M311" s="24" t="b">
        <v>0</v>
      </c>
      <c r="N311" s="24" t="s">
        <v>477</v>
      </c>
      <c r="O311" s="15">
        <f>VLOOKUP(N311,Select!D:H,5,FALSE)</f>
        <v>0</v>
      </c>
    </row>
    <row r="312" spans="1:15">
      <c r="A312" s="23">
        <v>101714</v>
      </c>
      <c r="B312" s="1" t="s">
        <v>29</v>
      </c>
      <c r="C312" s="6">
        <f>VLOOKUP(B312,Select!A:H,8,FALSE)</f>
        <v>6</v>
      </c>
      <c r="D312" s="1" t="s">
        <v>10</v>
      </c>
      <c r="E312" s="6">
        <f>VLOOKUP(D312,Select!B:H,7,FALSE)</f>
        <v>0</v>
      </c>
      <c r="F312" s="1" t="s">
        <v>34</v>
      </c>
      <c r="G312" s="6">
        <f>VLOOKUP(F312,Select!C:H,6,FALSE)</f>
        <v>2</v>
      </c>
      <c r="H312" s="24" t="s">
        <v>901</v>
      </c>
      <c r="I312" s="24">
        <v>2</v>
      </c>
      <c r="J312" s="24"/>
      <c r="K312" s="24"/>
      <c r="L312" s="24"/>
      <c r="M312" s="24" t="b">
        <v>0</v>
      </c>
      <c r="N312" s="24" t="s">
        <v>477</v>
      </c>
      <c r="O312" s="15">
        <f>VLOOKUP(N312,Select!D:H,5,FALSE)</f>
        <v>0</v>
      </c>
    </row>
    <row r="313" spans="1:15">
      <c r="A313" s="23">
        <v>101715</v>
      </c>
      <c r="B313" s="5" t="s">
        <v>29</v>
      </c>
      <c r="C313" s="6">
        <f>VLOOKUP(B313,Select!A:H,8,FALSE)</f>
        <v>6</v>
      </c>
      <c r="D313" s="5" t="s">
        <v>10</v>
      </c>
      <c r="E313" s="6">
        <f>VLOOKUP(D313,Select!B:H,7,FALSE)</f>
        <v>0</v>
      </c>
      <c r="F313" s="5" t="s">
        <v>34</v>
      </c>
      <c r="G313" s="6">
        <f>VLOOKUP(F313,Select!C:H,6,FALSE)</f>
        <v>2</v>
      </c>
      <c r="H313" s="24" t="s">
        <v>902</v>
      </c>
      <c r="I313" s="24">
        <v>3</v>
      </c>
      <c r="J313" s="24"/>
      <c r="K313" s="24"/>
      <c r="L313" s="24"/>
      <c r="M313" s="24" t="b">
        <v>0</v>
      </c>
      <c r="N313" s="24" t="s">
        <v>477</v>
      </c>
      <c r="O313" s="15">
        <f>VLOOKUP(N313,Select!D:H,5,FALSE)</f>
        <v>0</v>
      </c>
    </row>
    <row r="314" spans="1:15">
      <c r="A314" s="23">
        <v>101716</v>
      </c>
      <c r="B314" s="1" t="s">
        <v>29</v>
      </c>
      <c r="C314" s="6">
        <f>VLOOKUP(B314,Select!A:H,8,FALSE)</f>
        <v>6</v>
      </c>
      <c r="D314" s="1" t="s">
        <v>10</v>
      </c>
      <c r="E314" s="6">
        <f>VLOOKUP(D314,Select!B:H,7,FALSE)</f>
        <v>0</v>
      </c>
      <c r="F314" s="1" t="s">
        <v>34</v>
      </c>
      <c r="G314" s="6">
        <f>VLOOKUP(F314,Select!C:H,6,FALSE)</f>
        <v>2</v>
      </c>
      <c r="H314" s="24" t="s">
        <v>903</v>
      </c>
      <c r="I314" s="24">
        <v>4</v>
      </c>
      <c r="J314" s="24"/>
      <c r="K314" s="24"/>
      <c r="L314" s="24"/>
      <c r="M314" s="24" t="b">
        <v>0</v>
      </c>
      <c r="N314" s="24" t="s">
        <v>477</v>
      </c>
      <c r="O314" s="15">
        <f>VLOOKUP(N314,Select!D:H,5,FALSE)</f>
        <v>0</v>
      </c>
    </row>
    <row r="315" spans="1:15">
      <c r="A315" s="23">
        <v>101717</v>
      </c>
      <c r="B315" s="5" t="s">
        <v>29</v>
      </c>
      <c r="C315" s="6">
        <f>VLOOKUP(B315,Select!A:H,8,FALSE)</f>
        <v>6</v>
      </c>
      <c r="D315" s="5" t="s">
        <v>36</v>
      </c>
      <c r="E315" s="6">
        <f>VLOOKUP(D315,Select!B:H,7,FALSE)</f>
        <v>1</v>
      </c>
      <c r="F315" s="5" t="s">
        <v>3</v>
      </c>
      <c r="G315" s="6">
        <f>VLOOKUP(F315,Select!C:H,6,FALSE)</f>
        <v>0</v>
      </c>
      <c r="H315" s="24" t="s">
        <v>906</v>
      </c>
      <c r="I315" s="24">
        <v>2</v>
      </c>
      <c r="J315" s="24">
        <v>1</v>
      </c>
      <c r="K315" s="24">
        <v>2</v>
      </c>
      <c r="L315" s="24"/>
      <c r="M315" s="24" t="b">
        <v>0</v>
      </c>
      <c r="N315" s="24" t="s">
        <v>477</v>
      </c>
      <c r="O315" s="15">
        <f>VLOOKUP(N315,Select!D:H,5,FALSE)</f>
        <v>0</v>
      </c>
    </row>
    <row r="316" spans="1:15">
      <c r="A316" s="23">
        <v>101718</v>
      </c>
      <c r="B316" s="1" t="s">
        <v>29</v>
      </c>
      <c r="C316" s="6">
        <f>VLOOKUP(B316,Select!A:H,8,FALSE)</f>
        <v>6</v>
      </c>
      <c r="D316" s="1" t="s">
        <v>36</v>
      </c>
      <c r="E316" s="6">
        <f>VLOOKUP(D316,Select!B:H,7,FALSE)</f>
        <v>1</v>
      </c>
      <c r="F316" s="1" t="s">
        <v>3</v>
      </c>
      <c r="G316" s="6">
        <f>VLOOKUP(F316,Select!C:H,6,FALSE)</f>
        <v>0</v>
      </c>
      <c r="H316" s="24" t="s">
        <v>907</v>
      </c>
      <c r="I316" s="24">
        <v>3</v>
      </c>
      <c r="J316" s="24">
        <v>2</v>
      </c>
      <c r="K316" s="24">
        <v>2</v>
      </c>
      <c r="L316" s="24"/>
      <c r="M316" s="24" t="b">
        <v>0</v>
      </c>
      <c r="N316" s="24" t="s">
        <v>477</v>
      </c>
      <c r="O316" s="15">
        <f>VLOOKUP(N316,Select!D:H,5,FALSE)</f>
        <v>0</v>
      </c>
    </row>
    <row r="317" spans="1:15">
      <c r="A317" s="23">
        <v>101719</v>
      </c>
      <c r="B317" s="5" t="s">
        <v>29</v>
      </c>
      <c r="C317" s="6">
        <f>VLOOKUP(B317,Select!A:H,8,FALSE)</f>
        <v>6</v>
      </c>
      <c r="D317" s="5" t="s">
        <v>36</v>
      </c>
      <c r="E317" s="6">
        <f>VLOOKUP(D317,Select!B:H,7,FALSE)</f>
        <v>1</v>
      </c>
      <c r="F317" s="5" t="s">
        <v>3</v>
      </c>
      <c r="G317" s="6">
        <f>VLOOKUP(F317,Select!C:H,6,FALSE)</f>
        <v>0</v>
      </c>
      <c r="H317" s="24" t="s">
        <v>908</v>
      </c>
      <c r="I317" s="24">
        <v>3</v>
      </c>
      <c r="J317" s="24">
        <v>2</v>
      </c>
      <c r="K317" s="24">
        <v>2</v>
      </c>
      <c r="L317" s="24"/>
      <c r="M317" s="24" t="b">
        <v>0</v>
      </c>
      <c r="N317" s="24" t="s">
        <v>477</v>
      </c>
      <c r="O317" s="15">
        <f>VLOOKUP(N317,Select!D:H,5,FALSE)</f>
        <v>0</v>
      </c>
    </row>
    <row r="318" spans="1:15">
      <c r="A318" s="23">
        <v>101720</v>
      </c>
      <c r="B318" s="1" t="s">
        <v>29</v>
      </c>
      <c r="C318" s="6">
        <f>VLOOKUP(B318,Select!A:H,8,FALSE)</f>
        <v>6</v>
      </c>
      <c r="D318" s="1" t="s">
        <v>36</v>
      </c>
      <c r="E318" s="6">
        <f>VLOOKUP(D318,Select!B:H,7,FALSE)</f>
        <v>1</v>
      </c>
      <c r="F318" s="1" t="s">
        <v>3</v>
      </c>
      <c r="G318" s="6">
        <f>VLOOKUP(F318,Select!C:H,6,FALSE)</f>
        <v>0</v>
      </c>
      <c r="H318" s="24" t="s">
        <v>909</v>
      </c>
      <c r="I318" s="24">
        <v>3</v>
      </c>
      <c r="J318" s="24">
        <v>2</v>
      </c>
      <c r="K318" s="24">
        <v>3</v>
      </c>
      <c r="L318" s="24"/>
      <c r="M318" s="24" t="b">
        <v>0</v>
      </c>
      <c r="N318" s="24" t="s">
        <v>477</v>
      </c>
      <c r="O318" s="15">
        <f>VLOOKUP(N318,Select!D:H,5,FALSE)</f>
        <v>0</v>
      </c>
    </row>
    <row r="319" spans="1:15">
      <c r="A319" s="23">
        <v>101721</v>
      </c>
      <c r="B319" s="5" t="s">
        <v>29</v>
      </c>
      <c r="C319" s="6">
        <f>VLOOKUP(B319,Select!A:H,8,FALSE)</f>
        <v>6</v>
      </c>
      <c r="D319" s="5" t="s">
        <v>36</v>
      </c>
      <c r="E319" s="6">
        <f>VLOOKUP(D319,Select!B:H,7,FALSE)</f>
        <v>1</v>
      </c>
      <c r="F319" s="5" t="s">
        <v>3</v>
      </c>
      <c r="G319" s="6">
        <f>VLOOKUP(F319,Select!C:H,6,FALSE)</f>
        <v>0</v>
      </c>
      <c r="H319" s="24" t="s">
        <v>910</v>
      </c>
      <c r="I319" s="24">
        <v>3</v>
      </c>
      <c r="J319" s="24">
        <v>1</v>
      </c>
      <c r="K319" s="24">
        <v>2</v>
      </c>
      <c r="L319" s="24"/>
      <c r="M319" s="24" t="b">
        <v>0</v>
      </c>
      <c r="N319" s="24" t="s">
        <v>477</v>
      </c>
      <c r="O319" s="15">
        <f>VLOOKUP(N319,Select!D:H,5,FALSE)</f>
        <v>0</v>
      </c>
    </row>
    <row r="320" spans="1:15">
      <c r="A320" s="23">
        <v>101722</v>
      </c>
      <c r="B320" s="1" t="s">
        <v>29</v>
      </c>
      <c r="C320" s="6">
        <f>VLOOKUP(B320,Select!A:H,8,FALSE)</f>
        <v>6</v>
      </c>
      <c r="D320" s="1" t="s">
        <v>36</v>
      </c>
      <c r="E320" s="6">
        <f>VLOOKUP(D320,Select!B:H,7,FALSE)</f>
        <v>1</v>
      </c>
      <c r="F320" s="1" t="s">
        <v>3</v>
      </c>
      <c r="G320" s="6">
        <f>VLOOKUP(F320,Select!C:H,6,FALSE)</f>
        <v>0</v>
      </c>
      <c r="H320" s="24" t="s">
        <v>911</v>
      </c>
      <c r="I320" s="24">
        <v>4</v>
      </c>
      <c r="J320" s="24">
        <v>4</v>
      </c>
      <c r="K320" s="24">
        <v>3</v>
      </c>
      <c r="L320" s="24"/>
      <c r="M320" s="24" t="b">
        <v>0</v>
      </c>
      <c r="N320" s="24" t="s">
        <v>477</v>
      </c>
      <c r="O320" s="15">
        <f>VLOOKUP(N320,Select!D:H,5,FALSE)</f>
        <v>0</v>
      </c>
    </row>
    <row r="321" spans="1:15">
      <c r="A321" s="23">
        <v>101723</v>
      </c>
      <c r="B321" s="5" t="s">
        <v>29</v>
      </c>
      <c r="C321" s="6">
        <f>VLOOKUP(B321,Select!A:H,8,FALSE)</f>
        <v>6</v>
      </c>
      <c r="D321" s="5" t="s">
        <v>36</v>
      </c>
      <c r="E321" s="6">
        <f>VLOOKUP(D321,Select!B:H,7,FALSE)</f>
        <v>1</v>
      </c>
      <c r="F321" s="5" t="s">
        <v>3</v>
      </c>
      <c r="G321" s="6">
        <f>VLOOKUP(F321,Select!C:H,6,FALSE)</f>
        <v>0</v>
      </c>
      <c r="H321" s="24" t="s">
        <v>912</v>
      </c>
      <c r="I321" s="24">
        <v>5</v>
      </c>
      <c r="J321" s="24">
        <v>1</v>
      </c>
      <c r="K321" s="24">
        <v>6</v>
      </c>
      <c r="L321" s="24"/>
      <c r="M321" s="24" t="b">
        <v>0</v>
      </c>
      <c r="N321" s="24" t="s">
        <v>477</v>
      </c>
      <c r="O321" s="15">
        <f>VLOOKUP(N321,Select!D:H,5,FALSE)</f>
        <v>0</v>
      </c>
    </row>
    <row r="322" spans="1:15">
      <c r="A322" s="23">
        <v>101724</v>
      </c>
      <c r="B322" s="1" t="s">
        <v>29</v>
      </c>
      <c r="C322" s="6">
        <f>VLOOKUP(B322,Select!A:H,8,FALSE)</f>
        <v>6</v>
      </c>
      <c r="D322" s="1" t="s">
        <v>36</v>
      </c>
      <c r="E322" s="6">
        <f>VLOOKUP(D322,Select!B:H,7,FALSE)</f>
        <v>1</v>
      </c>
      <c r="F322" s="1" t="s">
        <v>3</v>
      </c>
      <c r="G322" s="6">
        <f>VLOOKUP(F322,Select!C:H,6,FALSE)</f>
        <v>0</v>
      </c>
      <c r="H322" s="24" t="s">
        <v>913</v>
      </c>
      <c r="I322" s="24">
        <v>5</v>
      </c>
      <c r="J322" s="24">
        <v>4</v>
      </c>
      <c r="K322" s="24">
        <v>4</v>
      </c>
      <c r="L322" s="24"/>
      <c r="M322" s="24" t="b">
        <v>0</v>
      </c>
      <c r="N322" s="24" t="s">
        <v>477</v>
      </c>
      <c r="O322" s="15">
        <f>VLOOKUP(N322,Select!D:H,5,FALSE)</f>
        <v>0</v>
      </c>
    </row>
    <row r="323" spans="1:15">
      <c r="A323" s="23">
        <v>101725</v>
      </c>
      <c r="B323" s="5" t="s">
        <v>29</v>
      </c>
      <c r="C323" s="6">
        <f>VLOOKUP(B323,Select!A:H,8,FALSE)</f>
        <v>6</v>
      </c>
      <c r="D323" s="5" t="s">
        <v>36</v>
      </c>
      <c r="E323" s="6">
        <f>VLOOKUP(D323,Select!B:H,7,FALSE)</f>
        <v>1</v>
      </c>
      <c r="F323" s="5" t="s">
        <v>3</v>
      </c>
      <c r="G323" s="6">
        <f>VLOOKUP(F323,Select!C:H,6,FALSE)</f>
        <v>0</v>
      </c>
      <c r="H323" s="24" t="s">
        <v>914</v>
      </c>
      <c r="I323" s="24">
        <v>6</v>
      </c>
      <c r="J323" s="24">
        <v>6</v>
      </c>
      <c r="K323" s="24">
        <v>6</v>
      </c>
      <c r="L323" s="24"/>
      <c r="M323" s="24" t="b">
        <v>0</v>
      </c>
      <c r="N323" s="24" t="s">
        <v>477</v>
      </c>
      <c r="O323" s="15">
        <f>VLOOKUP(N323,Select!D:H,5,FALSE)</f>
        <v>0</v>
      </c>
    </row>
    <row r="324" spans="1:15">
      <c r="A324" s="23">
        <v>101726</v>
      </c>
      <c r="B324" s="1" t="s">
        <v>29</v>
      </c>
      <c r="C324" s="6">
        <f>VLOOKUP(B324,Select!A:H,8,FALSE)</f>
        <v>6</v>
      </c>
      <c r="D324" s="1" t="s">
        <v>36</v>
      </c>
      <c r="E324" s="6">
        <f>VLOOKUP(D324,Select!B:H,7,FALSE)</f>
        <v>1</v>
      </c>
      <c r="F324" s="1" t="s">
        <v>3</v>
      </c>
      <c r="G324" s="6">
        <f>VLOOKUP(F324,Select!C:H,6,FALSE)</f>
        <v>0</v>
      </c>
      <c r="H324" s="24" t="s">
        <v>915</v>
      </c>
      <c r="I324" s="24">
        <v>7</v>
      </c>
      <c r="J324" s="24">
        <v>6</v>
      </c>
      <c r="K324" s="24">
        <v>6</v>
      </c>
      <c r="L324" s="24"/>
      <c r="M324" s="24" t="b">
        <v>0</v>
      </c>
      <c r="N324" s="24" t="s">
        <v>477</v>
      </c>
      <c r="O324" s="15">
        <f>VLOOKUP(N324,Select!D:H,5,FALSE)</f>
        <v>0</v>
      </c>
    </row>
    <row r="325" spans="1:15">
      <c r="A325" s="23">
        <v>101727</v>
      </c>
      <c r="B325" s="5" t="s">
        <v>29</v>
      </c>
      <c r="C325" s="6">
        <f>VLOOKUP(B325,Select!A:H,8,FALSE)</f>
        <v>6</v>
      </c>
      <c r="D325" s="5" t="s">
        <v>36</v>
      </c>
      <c r="E325" s="6">
        <f>VLOOKUP(D325,Select!B:H,7,FALSE)</f>
        <v>1</v>
      </c>
      <c r="F325" s="5" t="s">
        <v>34</v>
      </c>
      <c r="G325" s="6">
        <f>VLOOKUP(F325,Select!C:H,6,FALSE)</f>
        <v>2</v>
      </c>
      <c r="H325" s="24" t="s">
        <v>916</v>
      </c>
      <c r="I325" s="24">
        <v>2</v>
      </c>
      <c r="J325" s="24"/>
      <c r="K325" s="24"/>
      <c r="L325" s="24"/>
      <c r="M325" s="24" t="b">
        <v>0</v>
      </c>
      <c r="N325" s="24" t="s">
        <v>477</v>
      </c>
      <c r="O325" s="15">
        <f>VLOOKUP(N325,Select!D:H,5,FALSE)</f>
        <v>0</v>
      </c>
    </row>
    <row r="326" spans="1:15">
      <c r="A326" s="23">
        <v>101728</v>
      </c>
      <c r="B326" s="1" t="s">
        <v>29</v>
      </c>
      <c r="C326" s="6">
        <f>VLOOKUP(B326,Select!A:H,8,FALSE)</f>
        <v>6</v>
      </c>
      <c r="D326" s="1" t="s">
        <v>36</v>
      </c>
      <c r="E326" s="6">
        <f>VLOOKUP(D326,Select!B:H,7,FALSE)</f>
        <v>1</v>
      </c>
      <c r="F326" s="1" t="s">
        <v>34</v>
      </c>
      <c r="G326" s="6">
        <f>VLOOKUP(F326,Select!C:H,6,FALSE)</f>
        <v>2</v>
      </c>
      <c r="H326" s="24" t="s">
        <v>917</v>
      </c>
      <c r="I326" s="24">
        <v>2</v>
      </c>
      <c r="J326" s="24"/>
      <c r="K326" s="24"/>
      <c r="L326" s="24"/>
      <c r="M326" s="24" t="b">
        <v>0</v>
      </c>
      <c r="N326" s="24" t="s">
        <v>477</v>
      </c>
      <c r="O326" s="15">
        <f>VLOOKUP(N326,Select!D:H,5,FALSE)</f>
        <v>0</v>
      </c>
    </row>
    <row r="327" spans="1:15">
      <c r="A327" s="23">
        <v>101729</v>
      </c>
      <c r="B327" s="5" t="s">
        <v>29</v>
      </c>
      <c r="C327" s="6">
        <f>VLOOKUP(B327,Select!A:H,8,FALSE)</f>
        <v>6</v>
      </c>
      <c r="D327" s="5" t="s">
        <v>36</v>
      </c>
      <c r="E327" s="6">
        <f>VLOOKUP(D327,Select!B:H,7,FALSE)</f>
        <v>1</v>
      </c>
      <c r="F327" s="5" t="s">
        <v>34</v>
      </c>
      <c r="G327" s="6">
        <f>VLOOKUP(F327,Select!C:H,6,FALSE)</f>
        <v>2</v>
      </c>
      <c r="H327" s="24" t="s">
        <v>918</v>
      </c>
      <c r="I327" s="24">
        <v>4</v>
      </c>
      <c r="J327" s="24"/>
      <c r="K327" s="24"/>
      <c r="L327" s="24"/>
      <c r="M327" s="24" t="b">
        <v>0</v>
      </c>
      <c r="N327" s="24" t="s">
        <v>477</v>
      </c>
      <c r="O327" s="15">
        <f>VLOOKUP(N327,Select!D:H,5,FALSE)</f>
        <v>0</v>
      </c>
    </row>
    <row r="328" spans="1:15">
      <c r="A328" s="23">
        <v>101730</v>
      </c>
      <c r="B328" s="1" t="s">
        <v>29</v>
      </c>
      <c r="C328" s="6">
        <f>VLOOKUP(B328,Select!A:H,8,FALSE)</f>
        <v>6</v>
      </c>
      <c r="D328" s="1" t="s">
        <v>21</v>
      </c>
      <c r="E328" s="6">
        <f>VLOOKUP(D328,Select!B:H,7,FALSE)</f>
        <v>2</v>
      </c>
      <c r="F328" s="1" t="s">
        <v>3</v>
      </c>
      <c r="G328" s="6">
        <f>VLOOKUP(F328,Select!C:H,6,FALSE)</f>
        <v>0</v>
      </c>
      <c r="H328" s="24" t="s">
        <v>919</v>
      </c>
      <c r="I328" s="24">
        <v>6</v>
      </c>
      <c r="J328" s="24">
        <v>0</v>
      </c>
      <c r="K328" s="24">
        <v>6</v>
      </c>
      <c r="L328" s="24"/>
      <c r="M328" s="24" t="b">
        <v>0</v>
      </c>
      <c r="N328" s="24" t="s">
        <v>477</v>
      </c>
      <c r="O328" s="15">
        <f>VLOOKUP(N328,Select!D:H,5,FALSE)</f>
        <v>0</v>
      </c>
    </row>
    <row r="329" spans="1:15">
      <c r="A329" s="23">
        <v>101731</v>
      </c>
      <c r="B329" s="5" t="s">
        <v>29</v>
      </c>
      <c r="C329" s="6">
        <f>VLOOKUP(B329,Select!A:H,8,FALSE)</f>
        <v>6</v>
      </c>
      <c r="D329" s="5" t="s">
        <v>21</v>
      </c>
      <c r="E329" s="6">
        <f>VLOOKUP(D329,Select!B:H,7,FALSE)</f>
        <v>2</v>
      </c>
      <c r="F329" s="5" t="s">
        <v>3</v>
      </c>
      <c r="G329" s="6">
        <f>VLOOKUP(F329,Select!C:H,6,FALSE)</f>
        <v>0</v>
      </c>
      <c r="H329" s="24" t="s">
        <v>920</v>
      </c>
      <c r="I329" s="24">
        <v>9</v>
      </c>
      <c r="J329" s="24">
        <v>8</v>
      </c>
      <c r="K329" s="24">
        <v>6</v>
      </c>
      <c r="L329" s="24"/>
      <c r="M329" s="24" t="b">
        <v>0</v>
      </c>
      <c r="N329" s="24" t="s">
        <v>477</v>
      </c>
      <c r="O329" s="15">
        <f>VLOOKUP(N329,Select!D:H,5,FALSE)</f>
        <v>0</v>
      </c>
    </row>
    <row r="330" spans="1:15">
      <c r="A330" s="23">
        <v>101732</v>
      </c>
      <c r="B330" s="1" t="s">
        <v>29</v>
      </c>
      <c r="C330" s="6">
        <f>VLOOKUP(B330,Select!A:H,8,FALSE)</f>
        <v>6</v>
      </c>
      <c r="D330" s="1" t="s">
        <v>21</v>
      </c>
      <c r="E330" s="6">
        <f>VLOOKUP(D330,Select!B:H,7,FALSE)</f>
        <v>2</v>
      </c>
      <c r="F330" s="1" t="s">
        <v>23</v>
      </c>
      <c r="G330" s="6">
        <f>VLOOKUP(F330,Select!C:H,6,FALSE)</f>
        <v>1</v>
      </c>
      <c r="H330" s="24" t="s">
        <v>921</v>
      </c>
      <c r="I330" s="24">
        <v>2</v>
      </c>
      <c r="J330" s="24"/>
      <c r="K330" s="24"/>
      <c r="L330" s="24"/>
      <c r="M330" s="24" t="b">
        <v>0</v>
      </c>
      <c r="N330" s="24" t="s">
        <v>477</v>
      </c>
      <c r="O330" s="15">
        <f>VLOOKUP(N330,Select!D:H,5,FALSE)</f>
        <v>0</v>
      </c>
    </row>
    <row r="331" spans="1:15">
      <c r="A331" s="23">
        <v>101733</v>
      </c>
      <c r="B331" s="5" t="s">
        <v>29</v>
      </c>
      <c r="C331" s="6">
        <f>VLOOKUP(B331,Select!A:H,8,FALSE)</f>
        <v>6</v>
      </c>
      <c r="D331" s="5" t="s">
        <v>21</v>
      </c>
      <c r="E331" s="6">
        <f>VLOOKUP(D331,Select!B:H,7,FALSE)</f>
        <v>2</v>
      </c>
      <c r="F331" s="5" t="s">
        <v>23</v>
      </c>
      <c r="G331" s="6">
        <f>VLOOKUP(F331,Select!C:H,6,FALSE)</f>
        <v>1</v>
      </c>
      <c r="H331" s="24" t="s">
        <v>922</v>
      </c>
      <c r="I331" s="24">
        <v>4</v>
      </c>
      <c r="J331" s="24"/>
      <c r="K331" s="24"/>
      <c r="L331" s="24"/>
      <c r="M331" s="24" t="b">
        <v>0</v>
      </c>
      <c r="N331" s="24" t="s">
        <v>477</v>
      </c>
      <c r="O331" s="15">
        <f>VLOOKUP(N331,Select!D:H,5,FALSE)</f>
        <v>0</v>
      </c>
    </row>
    <row r="332" spans="1:15">
      <c r="A332" s="23">
        <v>101734</v>
      </c>
      <c r="B332" s="1" t="s">
        <v>29</v>
      </c>
      <c r="C332" s="6">
        <f>VLOOKUP(B332,Select!A:H,8,FALSE)</f>
        <v>6</v>
      </c>
      <c r="D332" s="1" t="s">
        <v>21</v>
      </c>
      <c r="E332" s="6">
        <f>VLOOKUP(D332,Select!B:H,7,FALSE)</f>
        <v>2</v>
      </c>
      <c r="F332" s="1" t="s">
        <v>23</v>
      </c>
      <c r="G332" s="6">
        <f>VLOOKUP(F332,Select!C:H,6,FALSE)</f>
        <v>1</v>
      </c>
      <c r="H332" s="24" t="s">
        <v>923</v>
      </c>
      <c r="I332" s="24">
        <v>6</v>
      </c>
      <c r="J332" s="24"/>
      <c r="K332" s="24"/>
      <c r="L332" s="24"/>
      <c r="M332" s="24" t="b">
        <v>0</v>
      </c>
      <c r="N332" s="24" t="s">
        <v>477</v>
      </c>
      <c r="O332" s="15">
        <f>VLOOKUP(N332,Select!D:H,5,FALSE)</f>
        <v>0</v>
      </c>
    </row>
    <row r="333" spans="1:15">
      <c r="A333" s="23">
        <v>101735</v>
      </c>
      <c r="B333" s="5" t="s">
        <v>29</v>
      </c>
      <c r="C333" s="6">
        <f>VLOOKUP(B333,Select!A:H,8,FALSE)</f>
        <v>6</v>
      </c>
      <c r="D333" s="5" t="s">
        <v>21</v>
      </c>
      <c r="E333" s="6">
        <f>VLOOKUP(D333,Select!B:H,7,FALSE)</f>
        <v>2</v>
      </c>
      <c r="F333" s="5" t="s">
        <v>34</v>
      </c>
      <c r="G333" s="6">
        <f>VLOOKUP(F333,Select!C:H,6,FALSE)</f>
        <v>2</v>
      </c>
      <c r="H333" s="24" t="s">
        <v>924</v>
      </c>
      <c r="I333" s="24">
        <v>1</v>
      </c>
      <c r="J333" s="24"/>
      <c r="K333" s="24"/>
      <c r="L333" s="24"/>
      <c r="M333" s="24" t="b">
        <v>0</v>
      </c>
      <c r="N333" s="24" t="s">
        <v>477</v>
      </c>
      <c r="O333" s="15">
        <f>VLOOKUP(N333,Select!D:H,5,FALSE)</f>
        <v>0</v>
      </c>
    </row>
    <row r="334" spans="1:15">
      <c r="A334" s="23">
        <v>101736</v>
      </c>
      <c r="B334" s="1" t="s">
        <v>29</v>
      </c>
      <c r="C334" s="6">
        <f>VLOOKUP(B334,Select!A:H,8,FALSE)</f>
        <v>6</v>
      </c>
      <c r="D334" s="1" t="s">
        <v>21</v>
      </c>
      <c r="E334" s="6">
        <f>VLOOKUP(D334,Select!B:H,7,FALSE)</f>
        <v>2</v>
      </c>
      <c r="F334" s="1" t="s">
        <v>34</v>
      </c>
      <c r="G334" s="6">
        <f>VLOOKUP(F334,Select!C:H,6,FALSE)</f>
        <v>2</v>
      </c>
      <c r="H334" s="24" t="s">
        <v>925</v>
      </c>
      <c r="I334" s="24">
        <v>2</v>
      </c>
      <c r="J334" s="24"/>
      <c r="K334" s="24"/>
      <c r="L334" s="24"/>
      <c r="M334" s="24" t="b">
        <v>0</v>
      </c>
      <c r="N334" s="24" t="s">
        <v>477</v>
      </c>
      <c r="O334" s="15">
        <f>VLOOKUP(N334,Select!D:H,5,FALSE)</f>
        <v>0</v>
      </c>
    </row>
    <row r="335" spans="1:15">
      <c r="A335" s="23">
        <v>101737</v>
      </c>
      <c r="B335" s="5" t="s">
        <v>29</v>
      </c>
      <c r="C335" s="6">
        <f>VLOOKUP(B335,Select!A:H,8,FALSE)</f>
        <v>6</v>
      </c>
      <c r="D335" s="5" t="s">
        <v>21</v>
      </c>
      <c r="E335" s="6">
        <f>VLOOKUP(D335,Select!B:H,7,FALSE)</f>
        <v>2</v>
      </c>
      <c r="F335" s="5" t="s">
        <v>34</v>
      </c>
      <c r="G335" s="6">
        <f>VLOOKUP(F335,Select!C:H,6,FALSE)</f>
        <v>2</v>
      </c>
      <c r="H335" s="24" t="s">
        <v>926</v>
      </c>
      <c r="I335" s="24">
        <v>2</v>
      </c>
      <c r="J335" s="24"/>
      <c r="K335" s="24"/>
      <c r="L335" s="24"/>
      <c r="M335" s="24" t="b">
        <v>0</v>
      </c>
      <c r="N335" s="24" t="s">
        <v>477</v>
      </c>
      <c r="O335" s="15">
        <f>VLOOKUP(N335,Select!D:H,5,FALSE)</f>
        <v>0</v>
      </c>
    </row>
    <row r="336" spans="1:15">
      <c r="A336" s="23">
        <v>101738</v>
      </c>
      <c r="B336" s="1" t="s">
        <v>29</v>
      </c>
      <c r="C336" s="6">
        <f>VLOOKUP(B336,Select!A:H,8,FALSE)</f>
        <v>6</v>
      </c>
      <c r="D336" s="1" t="s">
        <v>21</v>
      </c>
      <c r="E336" s="6">
        <f>VLOOKUP(D336,Select!B:H,7,FALSE)</f>
        <v>2</v>
      </c>
      <c r="F336" s="1" t="s">
        <v>34</v>
      </c>
      <c r="G336" s="6">
        <f>VLOOKUP(F336,Select!C:H,6,FALSE)</f>
        <v>2</v>
      </c>
      <c r="H336" s="24" t="s">
        <v>927</v>
      </c>
      <c r="I336" s="24">
        <v>6</v>
      </c>
      <c r="J336" s="24"/>
      <c r="K336" s="24"/>
      <c r="L336" s="24"/>
      <c r="M336" s="24" t="b">
        <v>0</v>
      </c>
      <c r="N336" s="24" t="s">
        <v>477</v>
      </c>
      <c r="O336" s="15">
        <f>VLOOKUP(N336,Select!D:H,5,FALSE)</f>
        <v>0</v>
      </c>
    </row>
    <row r="337" spans="1:15">
      <c r="A337" s="23">
        <v>101739</v>
      </c>
      <c r="B337" s="5" t="s">
        <v>29</v>
      </c>
      <c r="C337" s="6">
        <f>VLOOKUP(B337,Select!A:H,8,FALSE)</f>
        <v>6</v>
      </c>
      <c r="D337" s="5" t="s">
        <v>30</v>
      </c>
      <c r="E337" s="6">
        <f>VLOOKUP(D337,Select!B:H,7,FALSE)</f>
        <v>3</v>
      </c>
      <c r="F337" s="5" t="s">
        <v>3</v>
      </c>
      <c r="G337" s="6">
        <f>VLOOKUP(F337,Select!C:H,6,FALSE)</f>
        <v>0</v>
      </c>
      <c r="H337" s="24" t="s">
        <v>928</v>
      </c>
      <c r="I337" s="24">
        <v>6</v>
      </c>
      <c r="J337" s="24">
        <v>3</v>
      </c>
      <c r="K337" s="24">
        <v>5</v>
      </c>
      <c r="L337" s="24"/>
      <c r="M337" s="24" t="b">
        <v>0</v>
      </c>
      <c r="N337" s="24" t="s">
        <v>477</v>
      </c>
      <c r="O337" s="15">
        <f>VLOOKUP(N337,Select!D:H,5,FALSE)</f>
        <v>0</v>
      </c>
    </row>
    <row r="338" spans="1:15">
      <c r="A338" s="23">
        <v>101740</v>
      </c>
      <c r="B338" s="1" t="s">
        <v>29</v>
      </c>
      <c r="C338" s="6">
        <f>VLOOKUP(B338,Select!A:H,8,FALSE)</f>
        <v>6</v>
      </c>
      <c r="D338" s="1" t="s">
        <v>30</v>
      </c>
      <c r="E338" s="6">
        <f>VLOOKUP(D338,Select!B:H,7,FALSE)</f>
        <v>3</v>
      </c>
      <c r="F338" s="1" t="s">
        <v>3</v>
      </c>
      <c r="G338" s="6">
        <f>VLOOKUP(F338,Select!C:H,6,FALSE)</f>
        <v>0</v>
      </c>
      <c r="H338" s="24" t="s">
        <v>929</v>
      </c>
      <c r="I338" s="24">
        <v>8</v>
      </c>
      <c r="J338" s="24">
        <v>5</v>
      </c>
      <c r="K338" s="24">
        <v>5</v>
      </c>
      <c r="L338" s="24"/>
      <c r="M338" s="24" t="b">
        <v>0</v>
      </c>
      <c r="N338" s="24" t="s">
        <v>477</v>
      </c>
      <c r="O338" s="15">
        <f>VLOOKUP(N338,Select!D:H,5,FALSE)</f>
        <v>0</v>
      </c>
    </row>
    <row r="339" spans="1:15">
      <c r="A339" s="23">
        <v>101741</v>
      </c>
      <c r="B339" s="5" t="s">
        <v>29</v>
      </c>
      <c r="C339" s="6">
        <f>VLOOKUP(B339,Select!A:H,8,FALSE)</f>
        <v>6</v>
      </c>
      <c r="D339" s="5" t="s">
        <v>30</v>
      </c>
      <c r="E339" s="6">
        <f>VLOOKUP(D339,Select!B:H,7,FALSE)</f>
        <v>3</v>
      </c>
      <c r="F339" s="5" t="s">
        <v>3</v>
      </c>
      <c r="G339" s="6">
        <f>VLOOKUP(F339,Select!C:H,6,FALSE)</f>
        <v>0</v>
      </c>
      <c r="H339" s="24" t="s">
        <v>930</v>
      </c>
      <c r="I339" s="24">
        <v>10</v>
      </c>
      <c r="J339" s="24">
        <v>4</v>
      </c>
      <c r="K339" s="24">
        <v>4</v>
      </c>
      <c r="L339" s="24"/>
      <c r="M339" s="24" t="b">
        <v>0</v>
      </c>
      <c r="N339" s="24" t="s">
        <v>477</v>
      </c>
      <c r="O339" s="15">
        <f>VLOOKUP(N339,Select!D:H,5,FALSE)</f>
        <v>0</v>
      </c>
    </row>
    <row r="340" spans="1:15">
      <c r="A340" s="23">
        <v>101742</v>
      </c>
      <c r="B340" s="1" t="s">
        <v>29</v>
      </c>
      <c r="C340" s="6">
        <f>VLOOKUP(B340,Select!A:H,8,FALSE)</f>
        <v>6</v>
      </c>
      <c r="D340" s="1" t="s">
        <v>10</v>
      </c>
      <c r="E340" s="6">
        <f>VLOOKUP(D340,Select!B:H,7,FALSE)</f>
        <v>0</v>
      </c>
      <c r="F340" s="1" t="s">
        <v>3</v>
      </c>
      <c r="G340" s="6">
        <f>VLOOKUP(F340,Select!C:H,6,FALSE)</f>
        <v>0</v>
      </c>
      <c r="H340" s="24" t="s">
        <v>237</v>
      </c>
      <c r="I340" s="24">
        <v>3</v>
      </c>
      <c r="J340" s="24">
        <v>2</v>
      </c>
      <c r="K340" s="24">
        <v>1</v>
      </c>
      <c r="L340" s="24"/>
      <c r="M340" s="24" t="b">
        <v>1</v>
      </c>
      <c r="N340" s="24" t="s">
        <v>477</v>
      </c>
      <c r="O340" s="15">
        <f>VLOOKUP(N340,Select!D:H,5,FALSE)</f>
        <v>0</v>
      </c>
    </row>
    <row r="341" spans="1:15">
      <c r="A341" s="23">
        <v>101743</v>
      </c>
      <c r="B341" s="5" t="s">
        <v>29</v>
      </c>
      <c r="C341" s="6">
        <f>VLOOKUP(B341,Select!A:H,8,FALSE)</f>
        <v>6</v>
      </c>
      <c r="D341" s="5" t="s">
        <v>10</v>
      </c>
      <c r="E341" s="6">
        <f>VLOOKUP(D341,Select!B:H,7,FALSE)</f>
        <v>0</v>
      </c>
      <c r="F341" s="5" t="s">
        <v>3</v>
      </c>
      <c r="G341" s="6">
        <f>VLOOKUP(F341,Select!C:H,6,FALSE)</f>
        <v>0</v>
      </c>
      <c r="H341" s="24" t="s">
        <v>893</v>
      </c>
      <c r="I341" s="24">
        <v>4</v>
      </c>
      <c r="J341" s="24">
        <v>1</v>
      </c>
      <c r="K341" s="24">
        <v>2</v>
      </c>
      <c r="L341" s="24"/>
      <c r="M341" s="24" t="b">
        <v>1</v>
      </c>
      <c r="N341" s="24" t="s">
        <v>477</v>
      </c>
      <c r="O341" s="15">
        <f>VLOOKUP(N341,Select!D:H,5,FALSE)</f>
        <v>0</v>
      </c>
    </row>
    <row r="342" spans="1:15">
      <c r="A342" s="23">
        <v>101744</v>
      </c>
      <c r="B342" s="1" t="s">
        <v>29</v>
      </c>
      <c r="C342" s="6">
        <f>VLOOKUP(B342,Select!A:H,8,FALSE)</f>
        <v>6</v>
      </c>
      <c r="D342" s="1" t="s">
        <v>10</v>
      </c>
      <c r="E342" s="6">
        <f>VLOOKUP(D342,Select!B:H,7,FALSE)</f>
        <v>0</v>
      </c>
      <c r="F342" s="1" t="s">
        <v>3</v>
      </c>
      <c r="G342" s="6">
        <f>VLOOKUP(F342,Select!C:H,6,FALSE)</f>
        <v>0</v>
      </c>
      <c r="H342" s="24" t="s">
        <v>904</v>
      </c>
      <c r="I342" s="24">
        <v>5</v>
      </c>
      <c r="J342" s="24">
        <v>4</v>
      </c>
      <c r="K342" s="24">
        <v>5</v>
      </c>
      <c r="L342" s="24"/>
      <c r="M342" s="24" t="b">
        <v>1</v>
      </c>
      <c r="N342" s="24" t="s">
        <v>477</v>
      </c>
      <c r="O342" s="15">
        <f>VLOOKUP(N342,Select!D:H,5,FALSE)</f>
        <v>0</v>
      </c>
    </row>
    <row r="343" spans="1:15">
      <c r="A343" s="23">
        <v>101745</v>
      </c>
      <c r="B343" s="5" t="s">
        <v>29</v>
      </c>
      <c r="C343" s="6">
        <f>VLOOKUP(B343,Select!A:H,8,FALSE)</f>
        <v>6</v>
      </c>
      <c r="D343" s="5" t="s">
        <v>10</v>
      </c>
      <c r="E343" s="6">
        <f>VLOOKUP(D343,Select!B:H,7,FALSE)</f>
        <v>0</v>
      </c>
      <c r="F343" s="5" t="s">
        <v>3</v>
      </c>
      <c r="G343" s="6">
        <f>VLOOKUP(F343,Select!C:H,6,FALSE)</f>
        <v>0</v>
      </c>
      <c r="H343" s="24" t="s">
        <v>238</v>
      </c>
      <c r="I343" s="24">
        <v>5</v>
      </c>
      <c r="J343" s="24">
        <v>3</v>
      </c>
      <c r="K343" s="24">
        <v>4</v>
      </c>
      <c r="L343" s="24"/>
      <c r="M343" s="24" t="b">
        <v>1</v>
      </c>
      <c r="N343" s="24" t="s">
        <v>477</v>
      </c>
      <c r="O343" s="15">
        <f>VLOOKUP(N343,Select!D:H,5,FALSE)</f>
        <v>0</v>
      </c>
    </row>
    <row r="344" spans="1:15">
      <c r="A344" s="27">
        <v>101746</v>
      </c>
      <c r="B344" s="8" t="s">
        <v>29</v>
      </c>
      <c r="C344" s="9">
        <f>VLOOKUP(B344,Select!A:H,8,FALSE)</f>
        <v>6</v>
      </c>
      <c r="D344" s="8" t="s">
        <v>10</v>
      </c>
      <c r="E344" s="9">
        <f>VLOOKUP(D344,Select!B:H,7,FALSE)</f>
        <v>0</v>
      </c>
      <c r="F344" s="8" t="s">
        <v>3</v>
      </c>
      <c r="G344" s="9">
        <f>VLOOKUP(F344,Select!C:H,6,FALSE)</f>
        <v>0</v>
      </c>
      <c r="H344" s="28" t="s">
        <v>905</v>
      </c>
      <c r="I344" s="28">
        <v>6</v>
      </c>
      <c r="J344" s="28">
        <v>5</v>
      </c>
      <c r="K344" s="28">
        <v>4</v>
      </c>
      <c r="L344" s="28"/>
      <c r="M344" s="28" t="b">
        <v>1</v>
      </c>
      <c r="N344" s="28" t="s">
        <v>477</v>
      </c>
      <c r="O344" s="20">
        <f>VLOOKUP(N344,Select!D:H,5,FALSE)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29FAEADD-F452-4001-ADC0-ADCFEDB8522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F5343605-AE65-4344-AB2B-2C8D5FBB969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2FDD423C-59A8-4A3C-869E-E3951F8CE7EF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18C4EB-FFEC-4BE1-B89B-39D550E5EC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96EA961B-9D6F-42A7-9282-B9665127DCA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8CBE2840-8D25-4AB2-B892-571A7443BBE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E72A08B-7AFE-4C07-B42D-72C840AC2F7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0E227B6-F741-4EFB-9194-51B55DA4F2EA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B1:B344</xm:sqref>
        </x14:conditionalFormatting>
        <x14:conditionalFormatting xmlns:xm="http://schemas.microsoft.com/office/excel/2006/main">
          <x14:cfRule type="containsText" priority="1" operator="containsText" id="{07793315-3007-42C8-85B3-F70142B4D7E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20E23722-4192-485B-9CBE-7738AB25D93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B2:B344</xm:sqref>
        </x14:conditionalFormatting>
        <x14:conditionalFormatting xmlns:xm="http://schemas.microsoft.com/office/excel/2006/main">
          <x14:cfRule type="containsText" priority="6" operator="containsText" id="{440177CD-4E17-4061-9DA9-57995252EB4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ABF5DD8-89F5-483C-B59B-2B960E6B179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BA81916-AEFC-46BE-905A-10103B1CADD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6B9FC61-2BA9-4FA0-A1D3-D35D8F47CD3C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D1:D344</xm:sqref>
        </x14:conditionalFormatting>
        <x14:conditionalFormatting xmlns:xm="http://schemas.microsoft.com/office/excel/2006/main">
          <x14:cfRule type="containsText" priority="3" operator="containsText" id="{8721558E-0497-4B55-9626-4836205ED91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7584D09A-231D-4BFC-B903-8F301730500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018FA94E-3295-4BB9-BD40-202513203744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F1:F344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E7481A7-EB3C-4966-BA8E-A9034E21BAAD}">
          <x14:formula1>
            <xm:f>Select!$A:$A</xm:f>
          </x14:formula1>
          <xm:sqref>B2:B344</xm:sqref>
        </x14:dataValidation>
        <x14:dataValidation type="list" allowBlank="1" showInputMessage="1" showErrorMessage="1" xr:uid="{E27A0F1E-194B-4C9D-9689-CB7A3E1706A1}">
          <x14:formula1>
            <xm:f>Select!$B:$B</xm:f>
          </x14:formula1>
          <xm:sqref>D2:D344</xm:sqref>
        </x14:dataValidation>
        <x14:dataValidation type="list" allowBlank="1" showInputMessage="1" showErrorMessage="1" xr:uid="{F3110252-A47D-4DBC-90F7-13C52C35408D}">
          <x14:formula1>
            <xm:f>Select!$C:$C</xm:f>
          </x14:formula1>
          <xm:sqref>F2:F344</xm:sqref>
        </x14:dataValidation>
        <x14:dataValidation type="list" allowBlank="1" showInputMessage="1" showErrorMessage="1" xr:uid="{1D41333A-D316-4EBD-B09C-6664A174E288}">
          <x14:formula1>
            <xm:f>Select!$D:$D</xm:f>
          </x14:formula1>
          <xm:sqref>N2:N344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DA86C-15F7-4ADB-B0E2-591BB7D5A71B}">
  <dimension ref="A1:O126"/>
  <sheetViews>
    <sheetView workbookViewId="0">
      <selection activeCell="O12" sqref="O1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6" t="s">
        <v>292</v>
      </c>
      <c r="B1" s="17" t="s">
        <v>293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7</v>
      </c>
      <c r="I1" s="17" t="s">
        <v>8</v>
      </c>
      <c r="J1" s="17" t="s">
        <v>9</v>
      </c>
      <c r="K1" s="17" t="s">
        <v>299</v>
      </c>
      <c r="L1" s="17" t="s">
        <v>300</v>
      </c>
      <c r="M1" s="17" t="s">
        <v>301</v>
      </c>
      <c r="N1" s="17" t="s">
        <v>475</v>
      </c>
      <c r="O1" s="18" t="s">
        <v>476</v>
      </c>
    </row>
    <row r="2" spans="1:15">
      <c r="A2" s="23">
        <v>102000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24" t="s">
        <v>931</v>
      </c>
      <c r="I2" s="24">
        <v>6</v>
      </c>
      <c r="J2" s="24">
        <v>4</v>
      </c>
      <c r="K2" s="24">
        <v>5</v>
      </c>
      <c r="L2" s="24"/>
      <c r="M2" s="24" t="b">
        <v>0</v>
      </c>
      <c r="N2" s="24" t="s">
        <v>477</v>
      </c>
      <c r="O2" s="15">
        <f>VLOOKUP(N2,Select!D:H,5,FALSE)</f>
        <v>0</v>
      </c>
    </row>
    <row r="3" spans="1:15">
      <c r="A3" s="23">
        <v>102001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24" t="s">
        <v>932</v>
      </c>
      <c r="I3" s="24">
        <v>7</v>
      </c>
      <c r="J3" s="24">
        <v>6</v>
      </c>
      <c r="K3" s="24">
        <v>7</v>
      </c>
      <c r="L3" s="24"/>
      <c r="M3" s="24" t="b">
        <v>0</v>
      </c>
      <c r="N3" s="24" t="s">
        <v>477</v>
      </c>
      <c r="O3" s="15">
        <f>VLOOKUP(N3,Select!D:H,5,FALSE)</f>
        <v>0</v>
      </c>
    </row>
    <row r="4" spans="1:15">
      <c r="A4" s="23">
        <v>102002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23</v>
      </c>
      <c r="G4" s="6">
        <f>VLOOKUP(F4,Select!C:H,6,FALSE)</f>
        <v>1</v>
      </c>
      <c r="H4" s="24" t="s">
        <v>933</v>
      </c>
      <c r="I4" s="24">
        <v>5</v>
      </c>
      <c r="J4" s="24"/>
      <c r="K4" s="24"/>
      <c r="L4" s="24"/>
      <c r="M4" s="24" t="b">
        <v>0</v>
      </c>
      <c r="N4" s="24" t="s">
        <v>477</v>
      </c>
      <c r="O4" s="15">
        <f>VLOOKUP(N4,Select!D:H,5,FALSE)</f>
        <v>0</v>
      </c>
    </row>
    <row r="5" spans="1:15">
      <c r="A5" s="23">
        <v>102003</v>
      </c>
      <c r="B5" s="1" t="s">
        <v>1</v>
      </c>
      <c r="C5" s="6">
        <f>VLOOKUP(B5,Select!A:H,8,FALSE)</f>
        <v>0</v>
      </c>
      <c r="D5" s="1" t="s">
        <v>10</v>
      </c>
      <c r="E5" s="6">
        <f>VLOOKUP(D5,Select!B:H,7,FALSE)</f>
        <v>0</v>
      </c>
      <c r="F5" s="1" t="s">
        <v>23</v>
      </c>
      <c r="G5" s="6">
        <f>VLOOKUP(F5,Select!C:H,6,FALSE)</f>
        <v>1</v>
      </c>
      <c r="H5" s="24" t="s">
        <v>934</v>
      </c>
      <c r="I5" s="24">
        <v>6</v>
      </c>
      <c r="J5" s="24"/>
      <c r="K5" s="24"/>
      <c r="L5" s="24"/>
      <c r="M5" s="24" t="b">
        <v>0</v>
      </c>
      <c r="N5" s="24" t="s">
        <v>477</v>
      </c>
      <c r="O5" s="15">
        <f>VLOOKUP(N5,Select!D:H,5,FALSE)</f>
        <v>0</v>
      </c>
    </row>
    <row r="6" spans="1:15">
      <c r="A6" s="23">
        <v>102004</v>
      </c>
      <c r="B6" s="5" t="s">
        <v>1</v>
      </c>
      <c r="C6" s="6">
        <f>VLOOKUP(B6,Select!A:H,8,FALSE)</f>
        <v>0</v>
      </c>
      <c r="D6" s="5" t="s">
        <v>36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24" t="s">
        <v>935</v>
      </c>
      <c r="I6" s="24">
        <v>2</v>
      </c>
      <c r="J6" s="24">
        <v>2</v>
      </c>
      <c r="K6" s="24">
        <v>2</v>
      </c>
      <c r="L6" s="24"/>
      <c r="M6" s="24" t="b">
        <v>0</v>
      </c>
      <c r="N6" s="24" t="s">
        <v>477</v>
      </c>
      <c r="O6" s="15">
        <f>VLOOKUP(N6,Select!D:H,5,FALSE)</f>
        <v>0</v>
      </c>
    </row>
    <row r="7" spans="1:15">
      <c r="A7" s="23">
        <v>102005</v>
      </c>
      <c r="B7" s="1" t="s">
        <v>1</v>
      </c>
      <c r="C7" s="6">
        <f>VLOOKUP(B7,Select!A:H,8,FALSE)</f>
        <v>0</v>
      </c>
      <c r="D7" s="1" t="s">
        <v>36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24" t="s">
        <v>936</v>
      </c>
      <c r="I7" s="24">
        <v>4</v>
      </c>
      <c r="J7" s="24">
        <v>3</v>
      </c>
      <c r="K7" s="24">
        <v>3</v>
      </c>
      <c r="L7" s="24"/>
      <c r="M7" s="24" t="b">
        <v>0</v>
      </c>
      <c r="N7" s="24" t="s">
        <v>477</v>
      </c>
      <c r="O7" s="15">
        <f>VLOOKUP(N7,Select!D:H,5,FALSE)</f>
        <v>0</v>
      </c>
    </row>
    <row r="8" spans="1:15">
      <c r="A8" s="23">
        <v>102006</v>
      </c>
      <c r="B8" s="5" t="s">
        <v>1</v>
      </c>
      <c r="C8" s="6">
        <f>VLOOKUP(B8,Select!A:H,8,FALSE)</f>
        <v>0</v>
      </c>
      <c r="D8" s="5" t="s">
        <v>36</v>
      </c>
      <c r="E8" s="6">
        <f>VLOOKUP(D8,Select!B:H,7,FALSE)</f>
        <v>1</v>
      </c>
      <c r="F8" s="5" t="s">
        <v>23</v>
      </c>
      <c r="G8" s="6">
        <f>VLOOKUP(F8,Select!C:H,6,FALSE)</f>
        <v>1</v>
      </c>
      <c r="H8" s="24" t="s">
        <v>937</v>
      </c>
      <c r="I8" s="24">
        <v>3</v>
      </c>
      <c r="J8" s="24"/>
      <c r="K8" s="24"/>
      <c r="L8" s="24"/>
      <c r="M8" s="24" t="b">
        <v>0</v>
      </c>
      <c r="N8" s="24" t="s">
        <v>477</v>
      </c>
      <c r="O8" s="15">
        <f>VLOOKUP(N8,Select!D:H,5,FALSE)</f>
        <v>0</v>
      </c>
    </row>
    <row r="9" spans="1:15">
      <c r="A9" s="23">
        <v>102007</v>
      </c>
      <c r="B9" s="1" t="s">
        <v>1</v>
      </c>
      <c r="C9" s="6">
        <f>VLOOKUP(B9,Select!A:H,8,FALSE)</f>
        <v>0</v>
      </c>
      <c r="D9" s="1" t="s">
        <v>21</v>
      </c>
      <c r="E9" s="6">
        <f>VLOOKUP(D9,Select!B:H,7,FALSE)</f>
        <v>2</v>
      </c>
      <c r="F9" s="1" t="s">
        <v>3</v>
      </c>
      <c r="G9" s="6">
        <f>VLOOKUP(F9,Select!C:H,6,FALSE)</f>
        <v>0</v>
      </c>
      <c r="H9" s="24" t="s">
        <v>938</v>
      </c>
      <c r="I9" s="24">
        <v>2</v>
      </c>
      <c r="J9" s="24">
        <v>0</v>
      </c>
      <c r="K9" s="24">
        <v>3</v>
      </c>
      <c r="L9" s="24"/>
      <c r="M9" s="24" t="b">
        <v>0</v>
      </c>
      <c r="N9" s="24" t="s">
        <v>477</v>
      </c>
      <c r="O9" s="15">
        <f>VLOOKUP(N9,Select!D:H,5,FALSE)</f>
        <v>0</v>
      </c>
    </row>
    <row r="10" spans="1:15">
      <c r="A10" s="23">
        <v>102008</v>
      </c>
      <c r="B10" s="5" t="s">
        <v>1</v>
      </c>
      <c r="C10" s="6">
        <f>VLOOKUP(B10,Select!A:H,8,FALSE)</f>
        <v>0</v>
      </c>
      <c r="D10" s="5" t="s">
        <v>21</v>
      </c>
      <c r="E10" s="6">
        <f>VLOOKUP(D10,Select!B:H,7,FALSE)</f>
        <v>2</v>
      </c>
      <c r="F10" s="5" t="s">
        <v>3</v>
      </c>
      <c r="G10" s="6">
        <f>VLOOKUP(F10,Select!C:H,6,FALSE)</f>
        <v>0</v>
      </c>
      <c r="H10" s="24" t="s">
        <v>939</v>
      </c>
      <c r="I10" s="24">
        <v>8</v>
      </c>
      <c r="J10" s="24">
        <v>5</v>
      </c>
      <c r="K10" s="24">
        <v>5</v>
      </c>
      <c r="L10" s="24"/>
      <c r="M10" s="24" t="b">
        <v>0</v>
      </c>
      <c r="N10" s="24" t="s">
        <v>477</v>
      </c>
      <c r="O10" s="15">
        <f>VLOOKUP(N10,Select!D:H,5,FALSE)</f>
        <v>0</v>
      </c>
    </row>
    <row r="11" spans="1:15">
      <c r="A11" s="23">
        <v>102009</v>
      </c>
      <c r="B11" s="1" t="s">
        <v>1</v>
      </c>
      <c r="C11" s="6">
        <f>VLOOKUP(B11,Select!A:H,8,FALSE)</f>
        <v>0</v>
      </c>
      <c r="D11" s="1" t="s">
        <v>30</v>
      </c>
      <c r="E11" s="6">
        <f>VLOOKUP(D11,Select!B:H,7,FALSE)</f>
        <v>3</v>
      </c>
      <c r="F11" s="1" t="s">
        <v>3</v>
      </c>
      <c r="G11" s="6">
        <f>VLOOKUP(F11,Select!C:H,6,FALSE)</f>
        <v>0</v>
      </c>
      <c r="H11" s="24" t="s">
        <v>940</v>
      </c>
      <c r="I11" s="24">
        <v>7</v>
      </c>
      <c r="J11" s="24">
        <v>4</v>
      </c>
      <c r="K11" s="24">
        <v>4</v>
      </c>
      <c r="L11" s="24"/>
      <c r="M11" s="24" t="b">
        <v>0</v>
      </c>
      <c r="N11" s="24" t="s">
        <v>477</v>
      </c>
      <c r="O11" s="15">
        <f>VLOOKUP(N11,Select!D:H,5,FALSE)</f>
        <v>0</v>
      </c>
    </row>
    <row r="12" spans="1:15">
      <c r="A12" s="23">
        <v>102010</v>
      </c>
      <c r="B12" s="5" t="s">
        <v>1</v>
      </c>
      <c r="C12" s="6">
        <f>VLOOKUP(B12,Select!A:H,8,FALSE)</f>
        <v>0</v>
      </c>
      <c r="D12" s="5" t="s">
        <v>30</v>
      </c>
      <c r="E12" s="6">
        <f>VLOOKUP(D12,Select!B:H,7,FALSE)</f>
        <v>3</v>
      </c>
      <c r="F12" s="5" t="s">
        <v>3</v>
      </c>
      <c r="G12" s="6">
        <f>VLOOKUP(F12,Select!C:H,6,FALSE)</f>
        <v>0</v>
      </c>
      <c r="H12" s="24" t="s">
        <v>941</v>
      </c>
      <c r="I12" s="24">
        <v>8</v>
      </c>
      <c r="J12" s="24">
        <v>4</v>
      </c>
      <c r="K12" s="24">
        <v>3</v>
      </c>
      <c r="L12" s="24"/>
      <c r="M12" s="24" t="b">
        <v>0</v>
      </c>
      <c r="N12" s="24" t="s">
        <v>477</v>
      </c>
      <c r="O12" s="15">
        <f>VLOOKUP(N12,Select!D:H,5,FALSE)</f>
        <v>0</v>
      </c>
    </row>
    <row r="13" spans="1:15">
      <c r="A13" s="23">
        <v>102100</v>
      </c>
      <c r="B13" s="1" t="s">
        <v>24</v>
      </c>
      <c r="C13" s="6">
        <f>VLOOKUP(B13,Select!A:H,8,FALSE)</f>
        <v>1</v>
      </c>
      <c r="D13" s="1" t="s">
        <v>10</v>
      </c>
      <c r="E13" s="6">
        <f>VLOOKUP(D13,Select!B:H,7,FALSE)</f>
        <v>0</v>
      </c>
      <c r="F13" s="1" t="s">
        <v>3</v>
      </c>
      <c r="G13" s="6">
        <f>VLOOKUP(F13,Select!C:H,6,FALSE)</f>
        <v>0</v>
      </c>
      <c r="H13" s="24" t="s">
        <v>942</v>
      </c>
      <c r="I13" s="24">
        <v>2</v>
      </c>
      <c r="J13" s="24">
        <v>3</v>
      </c>
      <c r="K13" s="24">
        <v>1</v>
      </c>
      <c r="L13" s="24"/>
      <c r="M13" s="24" t="b">
        <v>0</v>
      </c>
      <c r="N13" s="24" t="s">
        <v>477</v>
      </c>
      <c r="O13" s="15">
        <f>VLOOKUP(N13,Select!D:H,5,FALSE)</f>
        <v>0</v>
      </c>
    </row>
    <row r="14" spans="1:15">
      <c r="A14" s="23">
        <v>102101</v>
      </c>
      <c r="B14" s="5" t="s">
        <v>24</v>
      </c>
      <c r="C14" s="6">
        <f>VLOOKUP(B14,Select!A:H,8,FALSE)</f>
        <v>1</v>
      </c>
      <c r="D14" s="5" t="s">
        <v>10</v>
      </c>
      <c r="E14" s="6">
        <f>VLOOKUP(D14,Select!B:H,7,FALSE)</f>
        <v>0</v>
      </c>
      <c r="F14" s="5" t="s">
        <v>3</v>
      </c>
      <c r="G14" s="6">
        <f>VLOOKUP(F14,Select!C:H,6,FALSE)</f>
        <v>0</v>
      </c>
      <c r="H14" s="24" t="s">
        <v>943</v>
      </c>
      <c r="I14" s="24">
        <v>2</v>
      </c>
      <c r="J14" s="24">
        <v>2</v>
      </c>
      <c r="K14" s="24">
        <v>2</v>
      </c>
      <c r="L14" s="24"/>
      <c r="M14" s="24" t="b">
        <v>0</v>
      </c>
      <c r="N14" s="24" t="s">
        <v>477</v>
      </c>
      <c r="O14" s="15">
        <f>VLOOKUP(N14,Select!D:H,5,FALSE)</f>
        <v>0</v>
      </c>
    </row>
    <row r="15" spans="1:15">
      <c r="A15" s="23">
        <v>102102</v>
      </c>
      <c r="B15" s="1" t="s">
        <v>24</v>
      </c>
      <c r="C15" s="6">
        <f>VLOOKUP(B15,Select!A:H,8,FALSE)</f>
        <v>1</v>
      </c>
      <c r="D15" s="1" t="s">
        <v>10</v>
      </c>
      <c r="E15" s="6">
        <f>VLOOKUP(D15,Select!B:H,7,FALSE)</f>
        <v>0</v>
      </c>
      <c r="F15" s="1" t="s">
        <v>3</v>
      </c>
      <c r="G15" s="6">
        <f>VLOOKUP(F15,Select!C:H,6,FALSE)</f>
        <v>0</v>
      </c>
      <c r="H15" s="24" t="s">
        <v>944</v>
      </c>
      <c r="I15" s="24">
        <v>3</v>
      </c>
      <c r="J15" s="24">
        <v>1</v>
      </c>
      <c r="K15" s="24">
        <v>4</v>
      </c>
      <c r="L15" s="24"/>
      <c r="M15" s="24" t="b">
        <v>0</v>
      </c>
      <c r="N15" s="24" t="s">
        <v>477</v>
      </c>
      <c r="O15" s="15">
        <f>VLOOKUP(N15,Select!D:H,5,FALSE)</f>
        <v>0</v>
      </c>
    </row>
    <row r="16" spans="1:15">
      <c r="A16" s="23">
        <v>102103</v>
      </c>
      <c r="B16" s="5" t="s">
        <v>24</v>
      </c>
      <c r="C16" s="6">
        <f>VLOOKUP(B16,Select!A:H,8,FALSE)</f>
        <v>1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24" t="s">
        <v>945</v>
      </c>
      <c r="I16" s="24">
        <v>4</v>
      </c>
      <c r="J16" s="24">
        <v>4</v>
      </c>
      <c r="K16" s="24">
        <v>3</v>
      </c>
      <c r="L16" s="24"/>
      <c r="M16" s="24" t="b">
        <v>0</v>
      </c>
      <c r="N16" s="24" t="s">
        <v>477</v>
      </c>
      <c r="O16" s="15">
        <f>VLOOKUP(N16,Select!D:H,5,FALSE)</f>
        <v>0</v>
      </c>
    </row>
    <row r="17" spans="1:15">
      <c r="A17" s="23">
        <v>102104</v>
      </c>
      <c r="B17" s="1" t="s">
        <v>24</v>
      </c>
      <c r="C17" s="6">
        <f>VLOOKUP(B17,Select!A:H,8,FALSE)</f>
        <v>1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24" t="s">
        <v>946</v>
      </c>
      <c r="I17" s="24">
        <v>5</v>
      </c>
      <c r="J17" s="24">
        <v>3</v>
      </c>
      <c r="K17" s="24">
        <v>5</v>
      </c>
      <c r="L17" s="24"/>
      <c r="M17" s="24" t="b">
        <v>0</v>
      </c>
      <c r="N17" s="24" t="s">
        <v>477</v>
      </c>
      <c r="O17" s="15">
        <f>VLOOKUP(N17,Select!D:H,5,FALSE)</f>
        <v>0</v>
      </c>
    </row>
    <row r="18" spans="1:15">
      <c r="A18" s="23">
        <v>102105</v>
      </c>
      <c r="B18" s="5" t="s">
        <v>24</v>
      </c>
      <c r="C18" s="6">
        <f>VLOOKUP(B18,Select!A:H,8,FALSE)</f>
        <v>1</v>
      </c>
      <c r="D18" s="5" t="s">
        <v>10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24" t="s">
        <v>947</v>
      </c>
      <c r="I18" s="24">
        <v>2</v>
      </c>
      <c r="J18" s="24"/>
      <c r="K18" s="24"/>
      <c r="L18" s="24"/>
      <c r="M18" s="24" t="b">
        <v>0</v>
      </c>
      <c r="N18" s="24" t="s">
        <v>477</v>
      </c>
      <c r="O18" s="15">
        <f>VLOOKUP(N18,Select!D:H,5,FALSE)</f>
        <v>0</v>
      </c>
    </row>
    <row r="19" spans="1:15">
      <c r="A19" s="23">
        <v>102106</v>
      </c>
      <c r="B19" s="1" t="s">
        <v>24</v>
      </c>
      <c r="C19" s="6">
        <f>VLOOKUP(B19,Select!A:H,8,FALSE)</f>
        <v>1</v>
      </c>
      <c r="D19" s="1" t="s">
        <v>36</v>
      </c>
      <c r="E19" s="6">
        <f>VLOOKUP(D19,Select!B:H,7,FALSE)</f>
        <v>1</v>
      </c>
      <c r="F19" s="1" t="s">
        <v>3</v>
      </c>
      <c r="G19" s="6">
        <f>VLOOKUP(F19,Select!C:H,6,FALSE)</f>
        <v>0</v>
      </c>
      <c r="H19" s="24" t="s">
        <v>948</v>
      </c>
      <c r="I19" s="24">
        <v>4</v>
      </c>
      <c r="J19" s="24">
        <v>3</v>
      </c>
      <c r="K19" s="24">
        <v>4</v>
      </c>
      <c r="L19" s="24"/>
      <c r="M19" s="24" t="b">
        <v>0</v>
      </c>
      <c r="N19" s="24" t="s">
        <v>477</v>
      </c>
      <c r="O19" s="15">
        <f>VLOOKUP(N19,Select!D:H,5,FALSE)</f>
        <v>0</v>
      </c>
    </row>
    <row r="20" spans="1:15">
      <c r="A20" s="23">
        <v>102107</v>
      </c>
      <c r="B20" s="5" t="s">
        <v>24</v>
      </c>
      <c r="C20" s="6">
        <f>VLOOKUP(B20,Select!A:H,8,FALSE)</f>
        <v>1</v>
      </c>
      <c r="D20" s="5" t="s">
        <v>36</v>
      </c>
      <c r="E20" s="6">
        <f>VLOOKUP(D20,Select!B:H,7,FALSE)</f>
        <v>1</v>
      </c>
      <c r="F20" s="5" t="s">
        <v>3</v>
      </c>
      <c r="G20" s="6">
        <f>VLOOKUP(F20,Select!C:H,6,FALSE)</f>
        <v>0</v>
      </c>
      <c r="H20" s="24" t="s">
        <v>949</v>
      </c>
      <c r="I20" s="24">
        <v>6</v>
      </c>
      <c r="J20" s="24">
        <v>1</v>
      </c>
      <c r="K20" s="24">
        <v>1</v>
      </c>
      <c r="L20" s="24"/>
      <c r="M20" s="24" t="b">
        <v>0</v>
      </c>
      <c r="N20" s="24" t="s">
        <v>477</v>
      </c>
      <c r="O20" s="15">
        <f>VLOOKUP(N20,Select!D:H,5,FALSE)</f>
        <v>0</v>
      </c>
    </row>
    <row r="21" spans="1:15">
      <c r="A21" s="23">
        <v>102108</v>
      </c>
      <c r="B21" s="1" t="s">
        <v>24</v>
      </c>
      <c r="C21" s="6">
        <f>VLOOKUP(B21,Select!A:H,8,FALSE)</f>
        <v>1</v>
      </c>
      <c r="D21" s="1" t="s">
        <v>36</v>
      </c>
      <c r="E21" s="6">
        <f>VLOOKUP(D21,Select!B:H,7,FALSE)</f>
        <v>1</v>
      </c>
      <c r="F21" s="1" t="s">
        <v>3</v>
      </c>
      <c r="G21" s="6">
        <f>VLOOKUP(F21,Select!C:H,6,FALSE)</f>
        <v>0</v>
      </c>
      <c r="H21" s="24" t="s">
        <v>950</v>
      </c>
      <c r="I21" s="24">
        <v>7</v>
      </c>
      <c r="J21" s="24">
        <v>5</v>
      </c>
      <c r="K21" s="24">
        <v>5</v>
      </c>
      <c r="L21" s="24"/>
      <c r="M21" s="24" t="b">
        <v>0</v>
      </c>
      <c r="N21" s="24" t="s">
        <v>477</v>
      </c>
      <c r="O21" s="15">
        <f>VLOOKUP(N21,Select!D:H,5,FALSE)</f>
        <v>0</v>
      </c>
    </row>
    <row r="22" spans="1:15">
      <c r="A22" s="23">
        <v>102109</v>
      </c>
      <c r="B22" s="5" t="s">
        <v>24</v>
      </c>
      <c r="C22" s="6">
        <f>VLOOKUP(B22,Select!A:H,8,FALSE)</f>
        <v>1</v>
      </c>
      <c r="D22" s="5" t="s">
        <v>36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24" t="s">
        <v>951</v>
      </c>
      <c r="I22" s="24">
        <v>3</v>
      </c>
      <c r="J22" s="24"/>
      <c r="K22" s="24"/>
      <c r="L22" s="24"/>
      <c r="M22" s="24" t="b">
        <v>0</v>
      </c>
      <c r="N22" s="24" t="s">
        <v>477</v>
      </c>
      <c r="O22" s="15">
        <f>VLOOKUP(N22,Select!D:H,5,FALSE)</f>
        <v>0</v>
      </c>
    </row>
    <row r="23" spans="1:15">
      <c r="A23" s="23">
        <v>102110</v>
      </c>
      <c r="B23" s="1" t="s">
        <v>24</v>
      </c>
      <c r="C23" s="6">
        <f>VLOOKUP(B23,Select!A:H,8,FALSE)</f>
        <v>1</v>
      </c>
      <c r="D23" s="1" t="s">
        <v>21</v>
      </c>
      <c r="E23" s="6">
        <f>VLOOKUP(D23,Select!B:H,7,FALSE)</f>
        <v>2</v>
      </c>
      <c r="F23" s="1" t="s">
        <v>3</v>
      </c>
      <c r="G23" s="6">
        <f>VLOOKUP(F23,Select!C:H,6,FALSE)</f>
        <v>0</v>
      </c>
      <c r="H23" s="24" t="s">
        <v>952</v>
      </c>
      <c r="I23" s="24">
        <v>2</v>
      </c>
      <c r="J23" s="24">
        <v>2</v>
      </c>
      <c r="K23" s="24">
        <v>2</v>
      </c>
      <c r="L23" s="24"/>
      <c r="M23" s="24" t="b">
        <v>0</v>
      </c>
      <c r="N23" s="24" t="s">
        <v>477</v>
      </c>
      <c r="O23" s="15">
        <f>VLOOKUP(N23,Select!D:H,5,FALSE)</f>
        <v>0</v>
      </c>
    </row>
    <row r="24" spans="1:15">
      <c r="A24" s="23">
        <v>102111</v>
      </c>
      <c r="B24" s="5" t="s">
        <v>24</v>
      </c>
      <c r="C24" s="6">
        <f>VLOOKUP(B24,Select!A:H,8,FALSE)</f>
        <v>1</v>
      </c>
      <c r="D24" s="5" t="s">
        <v>21</v>
      </c>
      <c r="E24" s="6">
        <f>VLOOKUP(D24,Select!B:H,7,FALSE)</f>
        <v>2</v>
      </c>
      <c r="F24" s="5" t="s">
        <v>3</v>
      </c>
      <c r="G24" s="6">
        <f>VLOOKUP(F24,Select!C:H,6,FALSE)</f>
        <v>0</v>
      </c>
      <c r="H24" s="24" t="s">
        <v>953</v>
      </c>
      <c r="I24" s="24">
        <v>6</v>
      </c>
      <c r="J24" s="24">
        <v>5</v>
      </c>
      <c r="K24" s="24">
        <v>6</v>
      </c>
      <c r="L24" s="24"/>
      <c r="M24" s="24" t="b">
        <v>0</v>
      </c>
      <c r="N24" s="24" t="s">
        <v>477</v>
      </c>
      <c r="O24" s="15">
        <f>VLOOKUP(N24,Select!D:H,5,FALSE)</f>
        <v>0</v>
      </c>
    </row>
    <row r="25" spans="1:15">
      <c r="A25" s="23">
        <v>102112</v>
      </c>
      <c r="B25" s="1" t="s">
        <v>24</v>
      </c>
      <c r="C25" s="6">
        <f>VLOOKUP(B25,Select!A:H,8,FALSE)</f>
        <v>1</v>
      </c>
      <c r="D25" s="1" t="s">
        <v>21</v>
      </c>
      <c r="E25" s="6">
        <f>VLOOKUP(D25,Select!B:H,7,FALSE)</f>
        <v>2</v>
      </c>
      <c r="F25" s="1" t="s">
        <v>3</v>
      </c>
      <c r="G25" s="6">
        <f>VLOOKUP(F25,Select!C:H,6,FALSE)</f>
        <v>0</v>
      </c>
      <c r="H25" s="24" t="s">
        <v>954</v>
      </c>
      <c r="I25" s="24">
        <v>6</v>
      </c>
      <c r="J25" s="24">
        <v>4</v>
      </c>
      <c r="K25" s="24">
        <v>6</v>
      </c>
      <c r="L25" s="24"/>
      <c r="M25" s="24" t="b">
        <v>0</v>
      </c>
      <c r="N25" s="24" t="s">
        <v>477</v>
      </c>
      <c r="O25" s="15">
        <f>VLOOKUP(N25,Select!D:H,5,FALSE)</f>
        <v>0</v>
      </c>
    </row>
    <row r="26" spans="1:15">
      <c r="A26" s="23">
        <v>102113</v>
      </c>
      <c r="B26" s="5" t="s">
        <v>24</v>
      </c>
      <c r="C26" s="6">
        <f>VLOOKUP(B26,Select!A:H,8,FALSE)</f>
        <v>1</v>
      </c>
      <c r="D26" s="5" t="s">
        <v>30</v>
      </c>
      <c r="E26" s="6">
        <f>VLOOKUP(D26,Select!B:H,7,FALSE)</f>
        <v>3</v>
      </c>
      <c r="F26" s="5" t="s">
        <v>3</v>
      </c>
      <c r="G26" s="6">
        <f>VLOOKUP(F26,Select!C:H,6,FALSE)</f>
        <v>0</v>
      </c>
      <c r="H26" s="24" t="s">
        <v>956</v>
      </c>
      <c r="I26" s="24">
        <v>5</v>
      </c>
      <c r="J26" s="24">
        <v>1</v>
      </c>
      <c r="K26" s="24">
        <v>1</v>
      </c>
      <c r="L26" s="24"/>
      <c r="M26" s="24" t="b">
        <v>0</v>
      </c>
      <c r="N26" s="24" t="s">
        <v>477</v>
      </c>
      <c r="O26" s="15">
        <f>VLOOKUP(N26,Select!D:H,5,FALSE)</f>
        <v>0</v>
      </c>
    </row>
    <row r="27" spans="1:15">
      <c r="A27" s="23">
        <v>102114</v>
      </c>
      <c r="B27" s="1" t="s">
        <v>24</v>
      </c>
      <c r="C27" s="6">
        <f>VLOOKUP(B27,Select!A:H,8,FALSE)</f>
        <v>1</v>
      </c>
      <c r="D27" s="1" t="s">
        <v>30</v>
      </c>
      <c r="E27" s="6">
        <f>VLOOKUP(D27,Select!B:H,7,FALSE)</f>
        <v>3</v>
      </c>
      <c r="F27" s="1" t="s">
        <v>3</v>
      </c>
      <c r="G27" s="6">
        <f>VLOOKUP(F27,Select!C:H,6,FALSE)</f>
        <v>0</v>
      </c>
      <c r="H27" s="24" t="s">
        <v>955</v>
      </c>
      <c r="I27" s="24">
        <v>4</v>
      </c>
      <c r="J27" s="24">
        <v>4</v>
      </c>
      <c r="K27" s="24">
        <v>4</v>
      </c>
      <c r="L27" s="24"/>
      <c r="M27" s="24" t="b">
        <v>1</v>
      </c>
      <c r="N27" s="24" t="s">
        <v>477</v>
      </c>
      <c r="O27" s="15">
        <f>VLOOKUP(N27,Select!D:H,5,FALSE)</f>
        <v>0</v>
      </c>
    </row>
    <row r="28" spans="1:15">
      <c r="A28" s="23">
        <v>102200</v>
      </c>
      <c r="B28" s="5" t="s">
        <v>25</v>
      </c>
      <c r="C28" s="6">
        <f>VLOOKUP(B28,Select!A:H,8,FALSE)</f>
        <v>2</v>
      </c>
      <c r="D28" s="5" t="s">
        <v>10</v>
      </c>
      <c r="E28" s="6">
        <f>VLOOKUP(D28,Select!B:H,7,FALSE)</f>
        <v>0</v>
      </c>
      <c r="F28" s="5" t="s">
        <v>3</v>
      </c>
      <c r="G28" s="6">
        <f>VLOOKUP(F28,Select!C:H,6,FALSE)</f>
        <v>0</v>
      </c>
      <c r="H28" s="24" t="s">
        <v>957</v>
      </c>
      <c r="I28" s="24">
        <v>2</v>
      </c>
      <c r="J28" s="24">
        <v>2</v>
      </c>
      <c r="K28" s="24">
        <v>1</v>
      </c>
      <c r="L28" s="24"/>
      <c r="M28" s="24" t="b">
        <v>0</v>
      </c>
      <c r="N28" s="24" t="s">
        <v>460</v>
      </c>
      <c r="O28" s="15">
        <f>VLOOKUP(N28,Select!D:H,5,FALSE)</f>
        <v>1</v>
      </c>
    </row>
    <row r="29" spans="1:15">
      <c r="A29" s="23">
        <v>102201</v>
      </c>
      <c r="B29" s="1" t="s">
        <v>25</v>
      </c>
      <c r="C29" s="6">
        <f>VLOOKUP(B29,Select!A:H,8,FALSE)</f>
        <v>2</v>
      </c>
      <c r="D29" s="1" t="s">
        <v>10</v>
      </c>
      <c r="E29" s="6">
        <f>VLOOKUP(D29,Select!B:H,7,FALSE)</f>
        <v>0</v>
      </c>
      <c r="F29" s="1" t="s">
        <v>3</v>
      </c>
      <c r="G29" s="6">
        <f>VLOOKUP(F29,Select!C:H,6,FALSE)</f>
        <v>0</v>
      </c>
      <c r="H29" s="24" t="s">
        <v>958</v>
      </c>
      <c r="I29" s="24">
        <v>3</v>
      </c>
      <c r="J29" s="24">
        <v>3</v>
      </c>
      <c r="K29" s="24">
        <v>2</v>
      </c>
      <c r="L29" s="24"/>
      <c r="M29" s="24" t="b">
        <v>0</v>
      </c>
      <c r="N29" s="24" t="s">
        <v>460</v>
      </c>
      <c r="O29" s="15">
        <f>VLOOKUP(N29,Select!D:H,5,FALSE)</f>
        <v>1</v>
      </c>
    </row>
    <row r="30" spans="1:15">
      <c r="A30" s="23">
        <v>102202</v>
      </c>
      <c r="B30" s="5" t="s">
        <v>25</v>
      </c>
      <c r="C30" s="6">
        <f>VLOOKUP(B30,Select!A:H,8,FALSE)</f>
        <v>2</v>
      </c>
      <c r="D30" s="5" t="s">
        <v>10</v>
      </c>
      <c r="E30" s="6">
        <f>VLOOKUP(D30,Select!B:H,7,FALSE)</f>
        <v>0</v>
      </c>
      <c r="F30" s="5" t="s">
        <v>3</v>
      </c>
      <c r="G30" s="6">
        <f>VLOOKUP(F30,Select!C:H,6,FALSE)</f>
        <v>0</v>
      </c>
      <c r="H30" s="24" t="s">
        <v>959</v>
      </c>
      <c r="I30" s="24">
        <v>4</v>
      </c>
      <c r="J30" s="24">
        <v>3</v>
      </c>
      <c r="K30" s="24">
        <v>4</v>
      </c>
      <c r="L30" s="24"/>
      <c r="M30" s="24" t="b">
        <v>0</v>
      </c>
      <c r="N30" s="24" t="s">
        <v>460</v>
      </c>
      <c r="O30" s="15">
        <f>VLOOKUP(N30,Select!D:H,5,FALSE)</f>
        <v>1</v>
      </c>
    </row>
    <row r="31" spans="1:15">
      <c r="A31" s="23">
        <v>102203</v>
      </c>
      <c r="B31" s="1" t="s">
        <v>25</v>
      </c>
      <c r="C31" s="6">
        <f>VLOOKUP(B31,Select!A:H,8,FALSE)</f>
        <v>2</v>
      </c>
      <c r="D31" s="1" t="s">
        <v>10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24" t="s">
        <v>960</v>
      </c>
      <c r="I31" s="24">
        <v>5</v>
      </c>
      <c r="J31" s="24">
        <v>4</v>
      </c>
      <c r="K31" s="24">
        <v>4</v>
      </c>
      <c r="L31" s="24"/>
      <c r="M31" s="24" t="b">
        <v>0</v>
      </c>
      <c r="N31" s="24" t="s">
        <v>656</v>
      </c>
      <c r="O31" s="15">
        <f>VLOOKUP(N31,Select!D:H,5,FALSE)</f>
        <v>16</v>
      </c>
    </row>
    <row r="32" spans="1:15">
      <c r="A32" s="23">
        <v>102204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24" t="s">
        <v>961</v>
      </c>
      <c r="I32" s="24">
        <v>5</v>
      </c>
      <c r="J32" s="24">
        <v>3</v>
      </c>
      <c r="K32" s="24">
        <v>4</v>
      </c>
      <c r="L32" s="24"/>
      <c r="M32" s="24" t="b">
        <v>0</v>
      </c>
      <c r="N32" s="24" t="s">
        <v>656</v>
      </c>
      <c r="O32" s="15">
        <f>VLOOKUP(N32,Select!D:H,5,FALSE)</f>
        <v>16</v>
      </c>
    </row>
    <row r="33" spans="1:15">
      <c r="A33" s="23">
        <v>102205</v>
      </c>
      <c r="B33" s="1" t="s">
        <v>25</v>
      </c>
      <c r="C33" s="6">
        <f>VLOOKUP(B33,Select!A:H,8,FALSE)</f>
        <v>2</v>
      </c>
      <c r="D33" s="1" t="s">
        <v>10</v>
      </c>
      <c r="E33" s="6">
        <f>VLOOKUP(D33,Select!B:H,7,FALSE)</f>
        <v>0</v>
      </c>
      <c r="F33" s="1" t="s">
        <v>23</v>
      </c>
      <c r="G33" s="6">
        <f>VLOOKUP(F33,Select!C:H,6,FALSE)</f>
        <v>1</v>
      </c>
      <c r="H33" s="24" t="s">
        <v>962</v>
      </c>
      <c r="I33" s="24">
        <v>1</v>
      </c>
      <c r="J33" s="24"/>
      <c r="K33" s="24"/>
      <c r="L33" s="24"/>
      <c r="M33" s="24" t="b">
        <v>0</v>
      </c>
      <c r="N33" s="24" t="s">
        <v>477</v>
      </c>
      <c r="O33" s="15">
        <f>VLOOKUP(N33,Select!D:H,5,FALSE)</f>
        <v>0</v>
      </c>
    </row>
    <row r="34" spans="1:15">
      <c r="A34" s="23">
        <v>102206</v>
      </c>
      <c r="B34" s="5" t="s">
        <v>25</v>
      </c>
      <c r="C34" s="6">
        <f>VLOOKUP(B34,Select!A:H,8,FALSE)</f>
        <v>2</v>
      </c>
      <c r="D34" s="5" t="s">
        <v>36</v>
      </c>
      <c r="E34" s="6">
        <f>VLOOKUP(D34,Select!B:H,7,FALSE)</f>
        <v>1</v>
      </c>
      <c r="F34" s="5" t="s">
        <v>3</v>
      </c>
      <c r="G34" s="6">
        <f>VLOOKUP(F34,Select!C:H,6,FALSE)</f>
        <v>0</v>
      </c>
      <c r="H34" s="24" t="s">
        <v>963</v>
      </c>
      <c r="I34" s="24">
        <v>2</v>
      </c>
      <c r="J34" s="24">
        <v>2</v>
      </c>
      <c r="K34" s="24">
        <v>2</v>
      </c>
      <c r="L34" s="24"/>
      <c r="M34" s="24" t="b">
        <v>0</v>
      </c>
      <c r="N34" s="24" t="s">
        <v>460</v>
      </c>
      <c r="O34" s="15">
        <f>VLOOKUP(N34,Select!D:H,5,FALSE)</f>
        <v>1</v>
      </c>
    </row>
    <row r="35" spans="1:15">
      <c r="A35" s="23">
        <v>102207</v>
      </c>
      <c r="B35" s="1" t="s">
        <v>25</v>
      </c>
      <c r="C35" s="6">
        <f>VLOOKUP(B35,Select!A:H,8,FALSE)</f>
        <v>2</v>
      </c>
      <c r="D35" s="1" t="s">
        <v>36</v>
      </c>
      <c r="E35" s="6">
        <f>VLOOKUP(D35,Select!B:H,7,FALSE)</f>
        <v>1</v>
      </c>
      <c r="F35" s="1" t="s">
        <v>3</v>
      </c>
      <c r="G35" s="6">
        <f>VLOOKUP(F35,Select!C:H,6,FALSE)</f>
        <v>0</v>
      </c>
      <c r="H35" s="24" t="s">
        <v>964</v>
      </c>
      <c r="I35" s="24">
        <v>3</v>
      </c>
      <c r="J35" s="24">
        <v>1</v>
      </c>
      <c r="K35" s="24">
        <v>1</v>
      </c>
      <c r="L35" s="24"/>
      <c r="M35" s="24" t="b">
        <v>0</v>
      </c>
      <c r="N35" s="24" t="s">
        <v>460</v>
      </c>
      <c r="O35" s="15">
        <f>VLOOKUP(N35,Select!D:H,5,FALSE)</f>
        <v>1</v>
      </c>
    </row>
    <row r="36" spans="1:15">
      <c r="A36" s="23">
        <v>102208</v>
      </c>
      <c r="B36" s="5" t="s">
        <v>25</v>
      </c>
      <c r="C36" s="6">
        <f>VLOOKUP(B36,Select!A:H,8,FALSE)</f>
        <v>2</v>
      </c>
      <c r="D36" s="5" t="s">
        <v>36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24" t="s">
        <v>965</v>
      </c>
      <c r="I36" s="24">
        <v>7</v>
      </c>
      <c r="J36" s="24">
        <v>3</v>
      </c>
      <c r="K36" s="24">
        <v>3</v>
      </c>
      <c r="L36" s="24"/>
      <c r="M36" s="24" t="b">
        <v>0</v>
      </c>
      <c r="N36" s="24" t="s">
        <v>460</v>
      </c>
      <c r="O36" s="15">
        <f>VLOOKUP(N36,Select!D:H,5,FALSE)</f>
        <v>1</v>
      </c>
    </row>
    <row r="37" spans="1:15">
      <c r="A37" s="23">
        <v>102209</v>
      </c>
      <c r="B37" s="1" t="s">
        <v>25</v>
      </c>
      <c r="C37" s="6">
        <f>VLOOKUP(B37,Select!A:H,8,FALSE)</f>
        <v>2</v>
      </c>
      <c r="D37" s="1" t="s">
        <v>36</v>
      </c>
      <c r="E37" s="6">
        <f>VLOOKUP(D37,Select!B:H,7,FALSE)</f>
        <v>1</v>
      </c>
      <c r="F37" s="1" t="s">
        <v>23</v>
      </c>
      <c r="G37" s="6">
        <f>VLOOKUP(F37,Select!C:H,6,FALSE)</f>
        <v>1</v>
      </c>
      <c r="H37" s="24" t="s">
        <v>966</v>
      </c>
      <c r="I37" s="24">
        <v>2</v>
      </c>
      <c r="J37" s="24"/>
      <c r="K37" s="24"/>
      <c r="L37" s="24"/>
      <c r="M37" s="24" t="b">
        <v>0</v>
      </c>
      <c r="N37" s="24" t="s">
        <v>477</v>
      </c>
      <c r="O37" s="15">
        <f>VLOOKUP(N37,Select!D:H,5,FALSE)</f>
        <v>0</v>
      </c>
    </row>
    <row r="38" spans="1:15">
      <c r="A38" s="23">
        <v>102210</v>
      </c>
      <c r="B38" s="5" t="s">
        <v>25</v>
      </c>
      <c r="C38" s="6">
        <f>VLOOKUP(B38,Select!A:H,8,FALSE)</f>
        <v>2</v>
      </c>
      <c r="D38" s="5" t="s">
        <v>21</v>
      </c>
      <c r="E38" s="6">
        <f>VLOOKUP(D38,Select!B:H,7,FALSE)</f>
        <v>2</v>
      </c>
      <c r="F38" s="5" t="s">
        <v>3</v>
      </c>
      <c r="G38" s="6">
        <f>VLOOKUP(F38,Select!C:H,6,FALSE)</f>
        <v>0</v>
      </c>
      <c r="H38" s="24" t="s">
        <v>967</v>
      </c>
      <c r="I38" s="24">
        <v>3</v>
      </c>
      <c r="J38" s="24">
        <v>3</v>
      </c>
      <c r="K38" s="24">
        <v>2</v>
      </c>
      <c r="L38" s="24"/>
      <c r="M38" s="24" t="b">
        <v>0</v>
      </c>
      <c r="N38" s="24" t="s">
        <v>656</v>
      </c>
      <c r="O38" s="15">
        <f>VLOOKUP(N38,Select!D:H,5,FALSE)</f>
        <v>16</v>
      </c>
    </row>
    <row r="39" spans="1:15">
      <c r="A39" s="23">
        <v>102211</v>
      </c>
      <c r="B39" s="1" t="s">
        <v>25</v>
      </c>
      <c r="C39" s="6">
        <f>VLOOKUP(B39,Select!A:H,8,FALSE)</f>
        <v>2</v>
      </c>
      <c r="D39" s="1" t="s">
        <v>21</v>
      </c>
      <c r="E39" s="6">
        <f>VLOOKUP(D39,Select!B:H,7,FALSE)</f>
        <v>2</v>
      </c>
      <c r="F39" s="1" t="s">
        <v>3</v>
      </c>
      <c r="G39" s="6">
        <f>VLOOKUP(F39,Select!C:H,6,FALSE)</f>
        <v>0</v>
      </c>
      <c r="H39" s="24" t="s">
        <v>968</v>
      </c>
      <c r="I39" s="24">
        <v>9</v>
      </c>
      <c r="J39" s="24">
        <v>7</v>
      </c>
      <c r="K39" s="24">
        <v>8</v>
      </c>
      <c r="L39" s="24"/>
      <c r="M39" s="24" t="b">
        <v>0</v>
      </c>
      <c r="N39" s="24" t="s">
        <v>656</v>
      </c>
      <c r="O39" s="15">
        <f>VLOOKUP(N39,Select!D:H,5,FALSE)</f>
        <v>16</v>
      </c>
    </row>
    <row r="40" spans="1:15">
      <c r="A40" s="23">
        <v>102212</v>
      </c>
      <c r="B40" s="5" t="s">
        <v>25</v>
      </c>
      <c r="C40" s="6">
        <f>VLOOKUP(B40,Select!A:H,8,FALSE)</f>
        <v>2</v>
      </c>
      <c r="D40" s="5" t="s">
        <v>21</v>
      </c>
      <c r="E40" s="6">
        <f>VLOOKUP(D40,Select!B:H,7,FALSE)</f>
        <v>2</v>
      </c>
      <c r="F40" s="5" t="s">
        <v>34</v>
      </c>
      <c r="G40" s="6">
        <f>VLOOKUP(F40,Select!C:H,6,FALSE)</f>
        <v>2</v>
      </c>
      <c r="H40" s="24" t="s">
        <v>969</v>
      </c>
      <c r="I40" s="24">
        <v>3</v>
      </c>
      <c r="J40" s="24"/>
      <c r="K40" s="24"/>
      <c r="L40" s="24"/>
      <c r="M40" s="24" t="b">
        <v>0</v>
      </c>
      <c r="N40" s="24" t="s">
        <v>477</v>
      </c>
      <c r="O40" s="15">
        <f>VLOOKUP(N40,Select!D:H,5,FALSE)</f>
        <v>0</v>
      </c>
    </row>
    <row r="41" spans="1:15">
      <c r="A41" s="23">
        <v>102213</v>
      </c>
      <c r="B41" s="1" t="s">
        <v>25</v>
      </c>
      <c r="C41" s="6">
        <f>VLOOKUP(B41,Select!A:H,8,FALSE)</f>
        <v>2</v>
      </c>
      <c r="D41" s="1" t="s">
        <v>30</v>
      </c>
      <c r="E41" s="6">
        <f>VLOOKUP(D41,Select!B:H,7,FALSE)</f>
        <v>3</v>
      </c>
      <c r="F41" s="1" t="s">
        <v>3</v>
      </c>
      <c r="G41" s="6">
        <f>VLOOKUP(F41,Select!C:H,6,FALSE)</f>
        <v>0</v>
      </c>
      <c r="H41" s="24" t="s">
        <v>970</v>
      </c>
      <c r="I41" s="24">
        <v>8</v>
      </c>
      <c r="J41" s="24">
        <v>6</v>
      </c>
      <c r="K41" s="24">
        <v>7</v>
      </c>
      <c r="L41" s="24"/>
      <c r="M41" s="24" t="b">
        <v>0</v>
      </c>
      <c r="N41" s="24" t="s">
        <v>656</v>
      </c>
      <c r="O41" s="15">
        <f>VLOOKUP(N41,Select!D:H,5,FALSE)</f>
        <v>16</v>
      </c>
    </row>
    <row r="42" spans="1:15">
      <c r="A42" s="23">
        <v>102214</v>
      </c>
      <c r="B42" s="5" t="s">
        <v>25</v>
      </c>
      <c r="C42" s="6">
        <f>VLOOKUP(B42,Select!A:H,8,FALSE)</f>
        <v>2</v>
      </c>
      <c r="D42" s="5" t="s">
        <v>10</v>
      </c>
      <c r="E42" s="6">
        <f>VLOOKUP(D42,Select!B:H,7,FALSE)</f>
        <v>0</v>
      </c>
      <c r="F42" s="5" t="s">
        <v>3</v>
      </c>
      <c r="G42" s="6">
        <f>VLOOKUP(F42,Select!C:H,6,FALSE)</f>
        <v>0</v>
      </c>
      <c r="H42" s="24" t="s">
        <v>971</v>
      </c>
      <c r="I42" s="24">
        <v>1</v>
      </c>
      <c r="J42" s="24">
        <v>1</v>
      </c>
      <c r="K42" s="24">
        <v>1</v>
      </c>
      <c r="L42" s="24"/>
      <c r="M42" s="24" t="b">
        <v>1</v>
      </c>
      <c r="N42" s="24" t="s">
        <v>460</v>
      </c>
      <c r="O42" s="15">
        <f>VLOOKUP(N42,Select!D:H,5,FALSE)</f>
        <v>1</v>
      </c>
    </row>
    <row r="43" spans="1:15">
      <c r="A43" s="23">
        <v>102215</v>
      </c>
      <c r="B43" s="1" t="s">
        <v>25</v>
      </c>
      <c r="C43" s="6">
        <f>VLOOKUP(B43,Select!A:H,8,FALSE)</f>
        <v>2</v>
      </c>
      <c r="D43" s="1" t="s">
        <v>30</v>
      </c>
      <c r="E43" s="6">
        <f>VLOOKUP(D43,Select!B:H,7,FALSE)</f>
        <v>3</v>
      </c>
      <c r="F43" s="1" t="s">
        <v>34</v>
      </c>
      <c r="G43" s="6">
        <f>VLOOKUP(F43,Select!C:H,6,FALSE)</f>
        <v>2</v>
      </c>
      <c r="H43" s="24" t="s">
        <v>972</v>
      </c>
      <c r="I43" s="24">
        <v>9</v>
      </c>
      <c r="J43" s="24"/>
      <c r="K43" s="24"/>
      <c r="L43" s="24"/>
      <c r="M43" s="24" t="b">
        <v>1</v>
      </c>
      <c r="N43" s="24" t="s">
        <v>656</v>
      </c>
      <c r="O43" s="15">
        <f>VLOOKUP(N43,Select!D:H,5,FALSE)</f>
        <v>16</v>
      </c>
    </row>
    <row r="44" spans="1:15">
      <c r="A44" s="23">
        <v>102300</v>
      </c>
      <c r="B44" s="5" t="s">
        <v>22</v>
      </c>
      <c r="C44" s="6">
        <f>VLOOKUP(B44,Select!A:H,8,FALSE)</f>
        <v>3</v>
      </c>
      <c r="D44" s="5" t="s">
        <v>10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24" t="s">
        <v>973</v>
      </c>
      <c r="I44" s="24">
        <v>3</v>
      </c>
      <c r="J44" s="24">
        <v>2</v>
      </c>
      <c r="K44" s="24">
        <v>2</v>
      </c>
      <c r="L44" s="24"/>
      <c r="M44" s="24" t="b">
        <v>0</v>
      </c>
      <c r="N44" s="24" t="s">
        <v>477</v>
      </c>
      <c r="O44" s="15">
        <f>VLOOKUP(N44,Select!D:H,5,FALSE)</f>
        <v>0</v>
      </c>
    </row>
    <row r="45" spans="1:15">
      <c r="A45" s="23">
        <v>102301</v>
      </c>
      <c r="B45" s="1" t="s">
        <v>22</v>
      </c>
      <c r="C45" s="6">
        <f>VLOOKUP(B45,Select!A:H,8,FALSE)</f>
        <v>3</v>
      </c>
      <c r="D45" s="1" t="s">
        <v>10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24" t="s">
        <v>974</v>
      </c>
      <c r="I45" s="24">
        <v>4</v>
      </c>
      <c r="J45" s="24">
        <v>3</v>
      </c>
      <c r="K45" s="24">
        <v>4</v>
      </c>
      <c r="L45" s="24"/>
      <c r="M45" s="24" t="b">
        <v>0</v>
      </c>
      <c r="N45" s="24" t="s">
        <v>477</v>
      </c>
      <c r="O45" s="15">
        <f>VLOOKUP(N45,Select!D:H,5,FALSE)</f>
        <v>0</v>
      </c>
    </row>
    <row r="46" spans="1:15">
      <c r="A46" s="23">
        <v>102302</v>
      </c>
      <c r="B46" s="5" t="s">
        <v>22</v>
      </c>
      <c r="C46" s="6">
        <f>VLOOKUP(B46,Select!A:H,8,FALSE)</f>
        <v>3</v>
      </c>
      <c r="D46" s="5" t="s">
        <v>10</v>
      </c>
      <c r="E46" s="6">
        <f>VLOOKUP(D46,Select!B:H,7,FALSE)</f>
        <v>0</v>
      </c>
      <c r="F46" s="5" t="s">
        <v>3</v>
      </c>
      <c r="G46" s="6">
        <f>VLOOKUP(F46,Select!C:H,6,FALSE)</f>
        <v>0</v>
      </c>
      <c r="H46" s="24" t="s">
        <v>975</v>
      </c>
      <c r="I46" s="24">
        <v>5</v>
      </c>
      <c r="J46" s="24">
        <v>4</v>
      </c>
      <c r="K46" s="24">
        <v>5</v>
      </c>
      <c r="L46" s="24"/>
      <c r="M46" s="24" t="b">
        <v>0</v>
      </c>
      <c r="N46" s="24" t="s">
        <v>477</v>
      </c>
      <c r="O46" s="15">
        <f>VLOOKUP(N46,Select!D:H,5,FALSE)</f>
        <v>0</v>
      </c>
    </row>
    <row r="47" spans="1:15">
      <c r="A47" s="23">
        <v>102303</v>
      </c>
      <c r="B47" s="1" t="s">
        <v>22</v>
      </c>
      <c r="C47" s="6">
        <f>VLOOKUP(B47,Select!A:H,8,FALSE)</f>
        <v>3</v>
      </c>
      <c r="D47" s="1" t="s">
        <v>10</v>
      </c>
      <c r="E47" s="6">
        <f>VLOOKUP(D47,Select!B:H,7,FALSE)</f>
        <v>0</v>
      </c>
      <c r="F47" s="1" t="s">
        <v>23</v>
      </c>
      <c r="G47" s="6">
        <f>VLOOKUP(F47,Select!C:H,6,FALSE)</f>
        <v>1</v>
      </c>
      <c r="H47" s="24" t="s">
        <v>976</v>
      </c>
      <c r="I47" s="24">
        <v>3</v>
      </c>
      <c r="J47" s="24"/>
      <c r="K47" s="24"/>
      <c r="L47" s="24"/>
      <c r="M47" s="24" t="b">
        <v>0</v>
      </c>
      <c r="N47" s="24" t="s">
        <v>477</v>
      </c>
      <c r="O47" s="15">
        <f>VLOOKUP(N47,Select!D:H,5,FALSE)</f>
        <v>0</v>
      </c>
    </row>
    <row r="48" spans="1:15">
      <c r="A48" s="23">
        <v>102304</v>
      </c>
      <c r="B48" s="5" t="s">
        <v>22</v>
      </c>
      <c r="C48" s="6">
        <f>VLOOKUP(B48,Select!A:H,8,FALSE)</f>
        <v>3</v>
      </c>
      <c r="D48" s="5" t="s">
        <v>10</v>
      </c>
      <c r="E48" s="6">
        <f>VLOOKUP(D48,Select!B:H,7,FALSE)</f>
        <v>0</v>
      </c>
      <c r="F48" s="5" t="s">
        <v>34</v>
      </c>
      <c r="G48" s="6">
        <f>VLOOKUP(F48,Select!C:H,6,FALSE)</f>
        <v>2</v>
      </c>
      <c r="H48" s="24" t="s">
        <v>977</v>
      </c>
      <c r="I48" s="24">
        <v>1</v>
      </c>
      <c r="J48" s="24"/>
      <c r="K48" s="24"/>
      <c r="L48" s="24"/>
      <c r="M48" s="24" t="b">
        <v>0</v>
      </c>
      <c r="N48" s="24" t="s">
        <v>477</v>
      </c>
      <c r="O48" s="15">
        <f>VLOOKUP(N48,Select!D:H,5,FALSE)</f>
        <v>0</v>
      </c>
    </row>
    <row r="49" spans="1:15">
      <c r="A49" s="23">
        <v>102305</v>
      </c>
      <c r="B49" s="1" t="s">
        <v>22</v>
      </c>
      <c r="C49" s="6">
        <f>VLOOKUP(B49,Select!A:H,8,FALSE)</f>
        <v>3</v>
      </c>
      <c r="D49" s="1" t="s">
        <v>10</v>
      </c>
      <c r="E49" s="6">
        <f>VLOOKUP(D49,Select!B:H,7,FALSE)</f>
        <v>0</v>
      </c>
      <c r="F49" s="1" t="s">
        <v>34</v>
      </c>
      <c r="G49" s="6">
        <f>VLOOKUP(F49,Select!C:H,6,FALSE)</f>
        <v>2</v>
      </c>
      <c r="H49" s="24" t="s">
        <v>978</v>
      </c>
      <c r="I49" s="24">
        <v>2</v>
      </c>
      <c r="J49" s="24"/>
      <c r="K49" s="24"/>
      <c r="L49" s="24"/>
      <c r="M49" s="24" t="b">
        <v>0</v>
      </c>
      <c r="N49" s="24" t="s">
        <v>477</v>
      </c>
      <c r="O49" s="15">
        <f>VLOOKUP(N49,Select!D:H,5,FALSE)</f>
        <v>0</v>
      </c>
    </row>
    <row r="50" spans="1:15">
      <c r="A50" s="23">
        <v>102306</v>
      </c>
      <c r="B50" s="5" t="s">
        <v>22</v>
      </c>
      <c r="C50" s="6">
        <f>VLOOKUP(B50,Select!A:H,8,FALSE)</f>
        <v>3</v>
      </c>
      <c r="D50" s="5" t="s">
        <v>36</v>
      </c>
      <c r="E50" s="6">
        <f>VLOOKUP(D50,Select!B:H,7,FALSE)</f>
        <v>1</v>
      </c>
      <c r="F50" s="5" t="s">
        <v>3</v>
      </c>
      <c r="G50" s="6">
        <f>VLOOKUP(F50,Select!C:H,6,FALSE)</f>
        <v>0</v>
      </c>
      <c r="H50" s="24" t="s">
        <v>982</v>
      </c>
      <c r="I50" s="24">
        <v>4</v>
      </c>
      <c r="J50" s="24">
        <v>3</v>
      </c>
      <c r="K50" s="24">
        <v>4</v>
      </c>
      <c r="L50" s="24"/>
      <c r="M50" s="24" t="b">
        <v>0</v>
      </c>
      <c r="N50" s="24" t="s">
        <v>477</v>
      </c>
      <c r="O50" s="15">
        <f>VLOOKUP(N50,Select!D:H,5,FALSE)</f>
        <v>0</v>
      </c>
    </row>
    <row r="51" spans="1:15">
      <c r="A51" s="23">
        <v>102307</v>
      </c>
      <c r="B51" s="1" t="s">
        <v>22</v>
      </c>
      <c r="C51" s="6">
        <f>VLOOKUP(B51,Select!A:H,8,FALSE)</f>
        <v>3</v>
      </c>
      <c r="D51" s="1" t="s">
        <v>36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24" t="s">
        <v>983</v>
      </c>
      <c r="I51" s="24">
        <v>6</v>
      </c>
      <c r="J51" s="24">
        <v>5</v>
      </c>
      <c r="K51" s="24">
        <v>5</v>
      </c>
      <c r="L51" s="24"/>
      <c r="M51" s="24" t="b">
        <v>0</v>
      </c>
      <c r="N51" s="24" t="s">
        <v>477</v>
      </c>
      <c r="O51" s="15">
        <f>VLOOKUP(N51,Select!D:H,5,FALSE)</f>
        <v>0</v>
      </c>
    </row>
    <row r="52" spans="1:15">
      <c r="A52" s="23">
        <v>102308</v>
      </c>
      <c r="B52" s="5" t="s">
        <v>22</v>
      </c>
      <c r="C52" s="6">
        <f>VLOOKUP(B52,Select!A:H,8,FALSE)</f>
        <v>3</v>
      </c>
      <c r="D52" s="5" t="s">
        <v>36</v>
      </c>
      <c r="E52" s="6">
        <f>VLOOKUP(D52,Select!B:H,7,FALSE)</f>
        <v>1</v>
      </c>
      <c r="F52" s="5" t="s">
        <v>23</v>
      </c>
      <c r="G52" s="6">
        <f>VLOOKUP(F52,Select!C:H,6,FALSE)</f>
        <v>1</v>
      </c>
      <c r="H52" s="24" t="s">
        <v>984</v>
      </c>
      <c r="I52" s="24">
        <v>3</v>
      </c>
      <c r="J52" s="24"/>
      <c r="K52" s="24"/>
      <c r="L52" s="24"/>
      <c r="M52" s="24" t="b">
        <v>0</v>
      </c>
      <c r="N52" s="24" t="s">
        <v>477</v>
      </c>
      <c r="O52" s="15">
        <f>VLOOKUP(N52,Select!D:H,5,FALSE)</f>
        <v>0</v>
      </c>
    </row>
    <row r="53" spans="1:15">
      <c r="A53" s="23">
        <v>102309</v>
      </c>
      <c r="B53" s="1" t="s">
        <v>22</v>
      </c>
      <c r="C53" s="6">
        <f>VLOOKUP(B53,Select!A:H,8,FALSE)</f>
        <v>3</v>
      </c>
      <c r="D53" s="1" t="s">
        <v>36</v>
      </c>
      <c r="E53" s="6">
        <f>VLOOKUP(D53,Select!B:H,7,FALSE)</f>
        <v>1</v>
      </c>
      <c r="F53" s="1" t="s">
        <v>23</v>
      </c>
      <c r="G53" s="6">
        <f>VLOOKUP(F53,Select!C:H,6,FALSE)</f>
        <v>1</v>
      </c>
      <c r="H53" s="24" t="s">
        <v>985</v>
      </c>
      <c r="I53" s="24">
        <v>7</v>
      </c>
      <c r="J53" s="24"/>
      <c r="K53" s="24"/>
      <c r="L53" s="24"/>
      <c r="M53" s="24" t="b">
        <v>0</v>
      </c>
      <c r="N53" s="24" t="s">
        <v>477</v>
      </c>
      <c r="O53" s="15">
        <f>VLOOKUP(N53,Select!D:H,5,FALSE)</f>
        <v>0</v>
      </c>
    </row>
    <row r="54" spans="1:15">
      <c r="A54" s="23">
        <v>102310</v>
      </c>
      <c r="B54" s="5" t="s">
        <v>22</v>
      </c>
      <c r="C54" s="6">
        <f>VLOOKUP(B54,Select!A:H,8,FALSE)</f>
        <v>3</v>
      </c>
      <c r="D54" s="5" t="s">
        <v>21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24" t="s">
        <v>986</v>
      </c>
      <c r="I54" s="24">
        <v>2</v>
      </c>
      <c r="J54" s="24">
        <v>2</v>
      </c>
      <c r="K54" s="24">
        <v>2</v>
      </c>
      <c r="L54" s="24"/>
      <c r="M54" s="24" t="b">
        <v>0</v>
      </c>
      <c r="N54" s="24" t="s">
        <v>477</v>
      </c>
      <c r="O54" s="15">
        <f>VLOOKUP(N54,Select!D:H,5,FALSE)</f>
        <v>0</v>
      </c>
    </row>
    <row r="55" spans="1:15">
      <c r="A55" s="23">
        <v>102311</v>
      </c>
      <c r="B55" s="1" t="s">
        <v>22</v>
      </c>
      <c r="C55" s="6">
        <f>VLOOKUP(B55,Select!A:H,8,FALSE)</f>
        <v>3</v>
      </c>
      <c r="D55" s="1" t="s">
        <v>21</v>
      </c>
      <c r="E55" s="6">
        <f>VLOOKUP(D55,Select!B:H,7,FALSE)</f>
        <v>2</v>
      </c>
      <c r="F55" s="1" t="s">
        <v>23</v>
      </c>
      <c r="G55" s="6">
        <f>VLOOKUP(F55,Select!C:H,6,FALSE)</f>
        <v>1</v>
      </c>
      <c r="H55" s="24" t="s">
        <v>987</v>
      </c>
      <c r="I55" s="24">
        <v>5</v>
      </c>
      <c r="J55" s="24"/>
      <c r="K55" s="24"/>
      <c r="L55" s="24"/>
      <c r="M55" s="24" t="b">
        <v>0</v>
      </c>
      <c r="N55" s="24" t="s">
        <v>477</v>
      </c>
      <c r="O55" s="15">
        <f>VLOOKUP(N55,Select!D:H,5,FALSE)</f>
        <v>0</v>
      </c>
    </row>
    <row r="56" spans="1:15">
      <c r="A56" s="23">
        <v>102312</v>
      </c>
      <c r="B56" s="5" t="s">
        <v>22</v>
      </c>
      <c r="C56" s="6">
        <f>VLOOKUP(B56,Select!A:H,8,FALSE)</f>
        <v>3</v>
      </c>
      <c r="D56" s="5" t="s">
        <v>21</v>
      </c>
      <c r="E56" s="6">
        <f>VLOOKUP(D56,Select!B:H,7,FALSE)</f>
        <v>2</v>
      </c>
      <c r="F56" s="5" t="s">
        <v>23</v>
      </c>
      <c r="G56" s="6">
        <f>VLOOKUP(F56,Select!C:H,6,FALSE)</f>
        <v>1</v>
      </c>
      <c r="H56" s="24" t="s">
        <v>988</v>
      </c>
      <c r="I56" s="24">
        <v>6</v>
      </c>
      <c r="J56" s="24"/>
      <c r="K56" s="24"/>
      <c r="L56" s="24"/>
      <c r="M56" s="24" t="b">
        <v>0</v>
      </c>
      <c r="N56" s="24" t="s">
        <v>477</v>
      </c>
      <c r="O56" s="15">
        <f>VLOOKUP(N56,Select!D:H,5,FALSE)</f>
        <v>0</v>
      </c>
    </row>
    <row r="57" spans="1:15">
      <c r="A57" s="23">
        <v>102313</v>
      </c>
      <c r="B57" s="1" t="s">
        <v>22</v>
      </c>
      <c r="C57" s="6">
        <f>VLOOKUP(B57,Select!A:H,8,FALSE)</f>
        <v>3</v>
      </c>
      <c r="D57" s="1" t="s">
        <v>30</v>
      </c>
      <c r="E57" s="6">
        <f>VLOOKUP(D57,Select!B:H,7,FALSE)</f>
        <v>3</v>
      </c>
      <c r="F57" s="1" t="s">
        <v>3</v>
      </c>
      <c r="G57" s="6">
        <f>VLOOKUP(F57,Select!C:H,6,FALSE)</f>
        <v>0</v>
      </c>
      <c r="H57" s="24" t="s">
        <v>989</v>
      </c>
      <c r="I57" s="24">
        <v>5</v>
      </c>
      <c r="J57" s="24">
        <v>4</v>
      </c>
      <c r="K57" s="24">
        <v>5</v>
      </c>
      <c r="L57" s="24"/>
      <c r="M57" s="24" t="b">
        <v>0</v>
      </c>
      <c r="N57" s="24" t="s">
        <v>477</v>
      </c>
      <c r="O57" s="15">
        <f>VLOOKUP(N57,Select!D:H,5,FALSE)</f>
        <v>0</v>
      </c>
    </row>
    <row r="58" spans="1:15">
      <c r="A58" s="23">
        <v>102314</v>
      </c>
      <c r="B58" s="5" t="s">
        <v>22</v>
      </c>
      <c r="C58" s="6">
        <f>VLOOKUP(B58,Select!A:H,8,FALSE)</f>
        <v>3</v>
      </c>
      <c r="D58" s="5" t="s">
        <v>10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24" t="s">
        <v>979</v>
      </c>
      <c r="I58" s="24">
        <v>1</v>
      </c>
      <c r="J58" s="24">
        <v>0</v>
      </c>
      <c r="K58" s="24">
        <v>2</v>
      </c>
      <c r="L58" s="24"/>
      <c r="M58" s="24" t="b">
        <v>1</v>
      </c>
      <c r="N58" s="24" t="s">
        <v>477</v>
      </c>
      <c r="O58" s="15">
        <f>VLOOKUP(N58,Select!D:H,5,FALSE)</f>
        <v>0</v>
      </c>
    </row>
    <row r="59" spans="1:15">
      <c r="A59" s="23">
        <v>102315</v>
      </c>
      <c r="B59" s="1" t="s">
        <v>22</v>
      </c>
      <c r="C59" s="6">
        <f>VLOOKUP(B59,Select!A:H,8,FALSE)</f>
        <v>3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24" t="s">
        <v>980</v>
      </c>
      <c r="I59" s="24">
        <v>3</v>
      </c>
      <c r="J59" s="24">
        <v>5</v>
      </c>
      <c r="K59" s="24">
        <v>5</v>
      </c>
      <c r="L59" s="24"/>
      <c r="M59" s="24" t="b">
        <v>1</v>
      </c>
      <c r="N59" s="24" t="s">
        <v>477</v>
      </c>
      <c r="O59" s="15">
        <f>VLOOKUP(N59,Select!D:H,5,FALSE)</f>
        <v>0</v>
      </c>
    </row>
    <row r="60" spans="1:15">
      <c r="A60" s="23">
        <v>102316</v>
      </c>
      <c r="B60" s="5" t="s">
        <v>22</v>
      </c>
      <c r="C60" s="6">
        <f>VLOOKUP(B60,Select!A:H,8,FALSE)</f>
        <v>3</v>
      </c>
      <c r="D60" s="5" t="s">
        <v>10</v>
      </c>
      <c r="E60" s="6">
        <f>VLOOKUP(D60,Select!B:H,7,FALSE)</f>
        <v>0</v>
      </c>
      <c r="F60" s="5" t="s">
        <v>23</v>
      </c>
      <c r="G60" s="6">
        <f>VLOOKUP(F60,Select!C:H,6,FALSE)</f>
        <v>1</v>
      </c>
      <c r="H60" s="24" t="s">
        <v>981</v>
      </c>
      <c r="I60" s="24">
        <v>1</v>
      </c>
      <c r="J60" s="24"/>
      <c r="K60" s="24"/>
      <c r="L60" s="24"/>
      <c r="M60" s="24" t="b">
        <v>1</v>
      </c>
      <c r="N60" s="24" t="s">
        <v>477</v>
      </c>
      <c r="O60" s="15">
        <f>VLOOKUP(N60,Select!D:H,5,FALSE)</f>
        <v>0</v>
      </c>
    </row>
    <row r="61" spans="1:15">
      <c r="A61" s="23">
        <v>102400</v>
      </c>
      <c r="B61" s="1" t="s">
        <v>26</v>
      </c>
      <c r="C61" s="6">
        <f>VLOOKUP(B61,Select!A:H,8,FALSE)</f>
        <v>4</v>
      </c>
      <c r="D61" s="1" t="s">
        <v>10</v>
      </c>
      <c r="E61" s="6">
        <f>VLOOKUP(D61,Select!B:H,7,FALSE)</f>
        <v>0</v>
      </c>
      <c r="F61" s="1" t="s">
        <v>3</v>
      </c>
      <c r="G61" s="6">
        <f>VLOOKUP(F61,Select!C:H,6,FALSE)</f>
        <v>0</v>
      </c>
      <c r="H61" s="24" t="s">
        <v>990</v>
      </c>
      <c r="I61" s="24">
        <v>2</v>
      </c>
      <c r="J61" s="24">
        <v>2</v>
      </c>
      <c r="K61" s="24">
        <v>2</v>
      </c>
      <c r="L61" s="24"/>
      <c r="M61" s="24" t="b">
        <v>0</v>
      </c>
      <c r="N61" s="24" t="s">
        <v>477</v>
      </c>
      <c r="O61" s="15">
        <f>VLOOKUP(N61,Select!D:H,5,FALSE)</f>
        <v>0</v>
      </c>
    </row>
    <row r="62" spans="1:15">
      <c r="A62" s="23">
        <v>102401</v>
      </c>
      <c r="B62" s="5" t="s">
        <v>26</v>
      </c>
      <c r="C62" s="6">
        <f>VLOOKUP(B62,Select!A:H,8,FALSE)</f>
        <v>4</v>
      </c>
      <c r="D62" s="5" t="s">
        <v>10</v>
      </c>
      <c r="E62" s="6">
        <f>VLOOKUP(D62,Select!B:H,7,FALSE)</f>
        <v>0</v>
      </c>
      <c r="F62" s="5" t="s">
        <v>3</v>
      </c>
      <c r="G62" s="6">
        <f>VLOOKUP(F62,Select!C:H,6,FALSE)</f>
        <v>0</v>
      </c>
      <c r="H62" s="24" t="s">
        <v>991</v>
      </c>
      <c r="I62" s="24">
        <v>2</v>
      </c>
      <c r="J62" s="24">
        <v>2</v>
      </c>
      <c r="K62" s="24">
        <v>2</v>
      </c>
      <c r="L62" s="24"/>
      <c r="M62" s="24" t="b">
        <v>0</v>
      </c>
      <c r="N62" s="24" t="s">
        <v>477</v>
      </c>
      <c r="O62" s="15">
        <f>VLOOKUP(N62,Select!D:H,5,FALSE)</f>
        <v>0</v>
      </c>
    </row>
    <row r="63" spans="1:15">
      <c r="A63" s="23">
        <v>102402</v>
      </c>
      <c r="B63" s="1" t="s">
        <v>26</v>
      </c>
      <c r="C63" s="6">
        <f>VLOOKUP(B63,Select!A:H,8,FALSE)</f>
        <v>4</v>
      </c>
      <c r="D63" s="1" t="s">
        <v>10</v>
      </c>
      <c r="E63" s="6">
        <f>VLOOKUP(D63,Select!B:H,7,FALSE)</f>
        <v>0</v>
      </c>
      <c r="F63" s="1" t="s">
        <v>3</v>
      </c>
      <c r="G63" s="6">
        <f>VLOOKUP(F63,Select!C:H,6,FALSE)</f>
        <v>0</v>
      </c>
      <c r="H63" s="24" t="s">
        <v>993</v>
      </c>
      <c r="I63" s="24">
        <v>3</v>
      </c>
      <c r="J63" s="24">
        <v>2</v>
      </c>
      <c r="K63" s="24">
        <v>3</v>
      </c>
      <c r="L63" s="24"/>
      <c r="M63" s="24" t="b">
        <v>0</v>
      </c>
      <c r="N63" s="24" t="s">
        <v>477</v>
      </c>
      <c r="O63" s="15">
        <f>VLOOKUP(N63,Select!D:H,5,FALSE)</f>
        <v>0</v>
      </c>
    </row>
    <row r="64" spans="1:15">
      <c r="A64" s="23">
        <v>102403</v>
      </c>
      <c r="B64" s="5" t="s">
        <v>26</v>
      </c>
      <c r="C64" s="6">
        <f>VLOOKUP(B64,Select!A:H,8,FALSE)</f>
        <v>4</v>
      </c>
      <c r="D64" s="5" t="s">
        <v>10</v>
      </c>
      <c r="E64" s="6">
        <f>VLOOKUP(D64,Select!B:H,7,FALSE)</f>
        <v>0</v>
      </c>
      <c r="F64" s="5" t="s">
        <v>3</v>
      </c>
      <c r="G64" s="6">
        <f>VLOOKUP(F64,Select!C:H,6,FALSE)</f>
        <v>0</v>
      </c>
      <c r="H64" s="24" t="s">
        <v>994</v>
      </c>
      <c r="I64" s="24">
        <v>5</v>
      </c>
      <c r="J64" s="24">
        <v>4</v>
      </c>
      <c r="K64" s="24">
        <v>4</v>
      </c>
      <c r="L64" s="24"/>
      <c r="M64" s="24" t="b">
        <v>0</v>
      </c>
      <c r="N64" s="24" t="s">
        <v>477</v>
      </c>
      <c r="O64" s="15">
        <f>VLOOKUP(N64,Select!D:H,5,FALSE)</f>
        <v>0</v>
      </c>
    </row>
    <row r="65" spans="1:15">
      <c r="A65" s="23">
        <v>102404</v>
      </c>
      <c r="B65" s="1" t="s">
        <v>26</v>
      </c>
      <c r="C65" s="6">
        <f>VLOOKUP(B65,Select!A:H,8,FALSE)</f>
        <v>4</v>
      </c>
      <c r="D65" s="1" t="s">
        <v>10</v>
      </c>
      <c r="E65" s="6">
        <f>VLOOKUP(D65,Select!B:H,7,FALSE)</f>
        <v>0</v>
      </c>
      <c r="F65" s="1" t="s">
        <v>3</v>
      </c>
      <c r="G65" s="6">
        <f>VLOOKUP(F65,Select!C:H,6,FALSE)</f>
        <v>0</v>
      </c>
      <c r="H65" s="24" t="s">
        <v>995</v>
      </c>
      <c r="I65" s="24">
        <v>6</v>
      </c>
      <c r="J65" s="24">
        <v>5</v>
      </c>
      <c r="K65" s="24">
        <v>7</v>
      </c>
      <c r="L65" s="24"/>
      <c r="M65" s="24" t="b">
        <v>0</v>
      </c>
      <c r="N65" s="24" t="s">
        <v>477</v>
      </c>
      <c r="O65" s="15">
        <f>VLOOKUP(N65,Select!D:H,5,FALSE)</f>
        <v>0</v>
      </c>
    </row>
    <row r="66" spans="1:15">
      <c r="A66" s="23">
        <v>102405</v>
      </c>
      <c r="B66" s="5" t="s">
        <v>26</v>
      </c>
      <c r="C66" s="6">
        <f>VLOOKUP(B66,Select!A:H,8,FALSE)</f>
        <v>4</v>
      </c>
      <c r="D66" s="5" t="s">
        <v>10</v>
      </c>
      <c r="E66" s="6">
        <f>VLOOKUP(D66,Select!B:H,7,FALSE)</f>
        <v>0</v>
      </c>
      <c r="F66" s="5" t="s">
        <v>23</v>
      </c>
      <c r="G66" s="6">
        <f>VLOOKUP(F66,Select!C:H,6,FALSE)</f>
        <v>1</v>
      </c>
      <c r="H66" s="24" t="s">
        <v>996</v>
      </c>
      <c r="I66" s="24">
        <v>4</v>
      </c>
      <c r="J66" s="24"/>
      <c r="K66" s="24"/>
      <c r="L66" s="24"/>
      <c r="M66" s="24" t="b">
        <v>0</v>
      </c>
      <c r="N66" s="24" t="s">
        <v>477</v>
      </c>
      <c r="O66" s="15">
        <f>VLOOKUP(N66,Select!D:H,5,FALSE)</f>
        <v>0</v>
      </c>
    </row>
    <row r="67" spans="1:15">
      <c r="A67" s="23">
        <v>102406</v>
      </c>
      <c r="B67" s="1" t="s">
        <v>26</v>
      </c>
      <c r="C67" s="6">
        <f>VLOOKUP(B67,Select!A:H,8,FALSE)</f>
        <v>4</v>
      </c>
      <c r="D67" s="1" t="s">
        <v>36</v>
      </c>
      <c r="E67" s="6">
        <f>VLOOKUP(D67,Select!B:H,7,FALSE)</f>
        <v>1</v>
      </c>
      <c r="F67" s="1" t="s">
        <v>3</v>
      </c>
      <c r="G67" s="6">
        <f>VLOOKUP(F67,Select!C:H,6,FALSE)</f>
        <v>0</v>
      </c>
      <c r="H67" s="24" t="s">
        <v>997</v>
      </c>
      <c r="I67" s="24">
        <v>4</v>
      </c>
      <c r="J67" s="24">
        <v>3</v>
      </c>
      <c r="K67" s="24">
        <v>3</v>
      </c>
      <c r="L67" s="24"/>
      <c r="M67" s="24" t="b">
        <v>0</v>
      </c>
      <c r="N67" s="24" t="s">
        <v>477</v>
      </c>
      <c r="O67" s="15">
        <f>VLOOKUP(N67,Select!D:H,5,FALSE)</f>
        <v>0</v>
      </c>
    </row>
    <row r="68" spans="1:15">
      <c r="A68" s="23">
        <v>102407</v>
      </c>
      <c r="B68" s="5" t="s">
        <v>26</v>
      </c>
      <c r="C68" s="6">
        <f>VLOOKUP(B68,Select!A:H,8,FALSE)</f>
        <v>4</v>
      </c>
      <c r="D68" s="5" t="s">
        <v>36</v>
      </c>
      <c r="E68" s="6">
        <f>VLOOKUP(D68,Select!B:H,7,FALSE)</f>
        <v>1</v>
      </c>
      <c r="F68" s="5" t="s">
        <v>3</v>
      </c>
      <c r="G68" s="6">
        <f>VLOOKUP(F68,Select!C:H,6,FALSE)</f>
        <v>0</v>
      </c>
      <c r="H68" s="24" t="s">
        <v>998</v>
      </c>
      <c r="I68" s="24">
        <v>4</v>
      </c>
      <c r="J68" s="24">
        <v>4</v>
      </c>
      <c r="K68" s="24">
        <v>3</v>
      </c>
      <c r="L68" s="24"/>
      <c r="M68" s="24" t="b">
        <v>0</v>
      </c>
      <c r="N68" s="24" t="s">
        <v>477</v>
      </c>
      <c r="O68" s="15">
        <f>VLOOKUP(N68,Select!D:H,5,FALSE)</f>
        <v>0</v>
      </c>
    </row>
    <row r="69" spans="1:15">
      <c r="A69" s="23">
        <v>102408</v>
      </c>
      <c r="B69" s="1" t="s">
        <v>26</v>
      </c>
      <c r="C69" s="6">
        <f>VLOOKUP(B69,Select!A:H,8,FALSE)</f>
        <v>4</v>
      </c>
      <c r="D69" s="1" t="s">
        <v>36</v>
      </c>
      <c r="E69" s="6">
        <f>VLOOKUP(D69,Select!B:H,7,FALSE)</f>
        <v>1</v>
      </c>
      <c r="F69" s="1" t="s">
        <v>3</v>
      </c>
      <c r="G69" s="6">
        <f>VLOOKUP(F69,Select!C:H,6,FALSE)</f>
        <v>0</v>
      </c>
      <c r="H69" s="24" t="s">
        <v>999</v>
      </c>
      <c r="I69" s="24">
        <v>5</v>
      </c>
      <c r="J69" s="24">
        <v>4</v>
      </c>
      <c r="K69" s="24">
        <v>5</v>
      </c>
      <c r="L69" s="24"/>
      <c r="M69" s="24" t="b">
        <v>0</v>
      </c>
      <c r="N69" s="24" t="s">
        <v>477</v>
      </c>
      <c r="O69" s="15">
        <f>VLOOKUP(N69,Select!D:H,5,FALSE)</f>
        <v>0</v>
      </c>
    </row>
    <row r="70" spans="1:15">
      <c r="A70" s="23">
        <v>102409</v>
      </c>
      <c r="B70" s="5" t="s">
        <v>26</v>
      </c>
      <c r="C70" s="6">
        <f>VLOOKUP(B70,Select!A:H,8,FALSE)</f>
        <v>4</v>
      </c>
      <c r="D70" s="5" t="s">
        <v>36</v>
      </c>
      <c r="E70" s="6">
        <f>VLOOKUP(D70,Select!B:H,7,FALSE)</f>
        <v>1</v>
      </c>
      <c r="F70" s="5" t="s">
        <v>23</v>
      </c>
      <c r="G70" s="6">
        <f>VLOOKUP(F70,Select!C:H,6,FALSE)</f>
        <v>1</v>
      </c>
      <c r="H70" s="24" t="s">
        <v>1000</v>
      </c>
      <c r="I70" s="24">
        <v>2</v>
      </c>
      <c r="J70" s="24"/>
      <c r="K70" s="24"/>
      <c r="L70" s="24"/>
      <c r="M70" s="24" t="b">
        <v>0</v>
      </c>
      <c r="N70" s="24" t="s">
        <v>477</v>
      </c>
      <c r="O70" s="15">
        <f>VLOOKUP(N70,Select!D:H,5,FALSE)</f>
        <v>0</v>
      </c>
    </row>
    <row r="71" spans="1:15">
      <c r="A71" s="23">
        <v>102410</v>
      </c>
      <c r="B71" s="1" t="s">
        <v>26</v>
      </c>
      <c r="C71" s="6">
        <f>VLOOKUP(B71,Select!A:H,8,FALSE)</f>
        <v>4</v>
      </c>
      <c r="D71" s="1" t="s">
        <v>21</v>
      </c>
      <c r="E71" s="6">
        <f>VLOOKUP(D71,Select!B:H,7,FALSE)</f>
        <v>2</v>
      </c>
      <c r="F71" s="1" t="s">
        <v>3</v>
      </c>
      <c r="G71" s="6">
        <f>VLOOKUP(F71,Select!C:H,6,FALSE)</f>
        <v>0</v>
      </c>
      <c r="H71" s="24" t="s">
        <v>1001</v>
      </c>
      <c r="I71" s="24">
        <v>7</v>
      </c>
      <c r="J71" s="24">
        <v>5</v>
      </c>
      <c r="K71" s="24">
        <v>5</v>
      </c>
      <c r="L71" s="24"/>
      <c r="M71" s="24" t="b">
        <v>0</v>
      </c>
      <c r="N71" s="24" t="s">
        <v>477</v>
      </c>
      <c r="O71" s="15">
        <f>VLOOKUP(N71,Select!D:H,5,FALSE)</f>
        <v>0</v>
      </c>
    </row>
    <row r="72" spans="1:15">
      <c r="A72" s="23">
        <v>102411</v>
      </c>
      <c r="B72" s="5" t="s">
        <v>26</v>
      </c>
      <c r="C72" s="6">
        <f>VLOOKUP(B72,Select!A:H,8,FALSE)</f>
        <v>4</v>
      </c>
      <c r="D72" s="5" t="s">
        <v>21</v>
      </c>
      <c r="E72" s="6">
        <f>VLOOKUP(D72,Select!B:H,7,FALSE)</f>
        <v>2</v>
      </c>
      <c r="F72" s="5" t="s">
        <v>34</v>
      </c>
      <c r="G72" s="6">
        <f>VLOOKUP(F72,Select!C:H,6,FALSE)</f>
        <v>2</v>
      </c>
      <c r="H72" s="24" t="s">
        <v>1002</v>
      </c>
      <c r="I72" s="24">
        <v>3</v>
      </c>
      <c r="J72" s="24"/>
      <c r="K72" s="24"/>
      <c r="L72" s="24"/>
      <c r="M72" s="24" t="b">
        <v>0</v>
      </c>
      <c r="N72" s="24" t="s">
        <v>477</v>
      </c>
      <c r="O72" s="15">
        <f>VLOOKUP(N72,Select!D:H,5,FALSE)</f>
        <v>0</v>
      </c>
    </row>
    <row r="73" spans="1:15">
      <c r="A73" s="23">
        <v>102412</v>
      </c>
      <c r="B73" s="1" t="s">
        <v>26</v>
      </c>
      <c r="C73" s="6">
        <f>VLOOKUP(B73,Select!A:H,8,FALSE)</f>
        <v>4</v>
      </c>
      <c r="D73" s="1" t="s">
        <v>21</v>
      </c>
      <c r="E73" s="6">
        <f>VLOOKUP(D73,Select!B:H,7,FALSE)</f>
        <v>2</v>
      </c>
      <c r="F73" s="1" t="s">
        <v>34</v>
      </c>
      <c r="G73" s="6">
        <f>VLOOKUP(F73,Select!C:H,6,FALSE)</f>
        <v>2</v>
      </c>
      <c r="H73" s="24" t="s">
        <v>1003</v>
      </c>
      <c r="I73" s="24">
        <v>9</v>
      </c>
      <c r="J73" s="24"/>
      <c r="K73" s="24"/>
      <c r="L73" s="24"/>
      <c r="M73" s="24" t="b">
        <v>0</v>
      </c>
      <c r="N73" s="24" t="s">
        <v>477</v>
      </c>
      <c r="O73" s="15">
        <f>VLOOKUP(N73,Select!D:H,5,FALSE)</f>
        <v>0</v>
      </c>
    </row>
    <row r="74" spans="1:15">
      <c r="A74" s="23">
        <v>102413</v>
      </c>
      <c r="B74" s="5" t="s">
        <v>26</v>
      </c>
      <c r="C74" s="6">
        <f>VLOOKUP(B74,Select!A:H,8,FALSE)</f>
        <v>4</v>
      </c>
      <c r="D74" s="5" t="s">
        <v>30</v>
      </c>
      <c r="E74" s="6">
        <f>VLOOKUP(D74,Select!B:H,7,FALSE)</f>
        <v>3</v>
      </c>
      <c r="F74" s="5" t="s">
        <v>34</v>
      </c>
      <c r="G74" s="6">
        <f>VLOOKUP(F74,Select!C:H,6,FALSE)</f>
        <v>2</v>
      </c>
      <c r="H74" s="24" t="s">
        <v>1004</v>
      </c>
      <c r="I74" s="24">
        <v>1</v>
      </c>
      <c r="J74" s="24"/>
      <c r="K74" s="24"/>
      <c r="L74" s="24"/>
      <c r="M74" s="24" t="b">
        <v>0</v>
      </c>
      <c r="N74" s="24" t="s">
        <v>477</v>
      </c>
      <c r="O74" s="15">
        <f>VLOOKUP(N74,Select!D:H,5,FALSE)</f>
        <v>0</v>
      </c>
    </row>
    <row r="75" spans="1:15">
      <c r="A75" s="23">
        <v>102414</v>
      </c>
      <c r="B75" s="1" t="s">
        <v>26</v>
      </c>
      <c r="C75" s="6">
        <f>VLOOKUP(B75,Select!A:H,8,FALSE)</f>
        <v>4</v>
      </c>
      <c r="D75" s="1" t="s">
        <v>10</v>
      </c>
      <c r="E75" s="6">
        <f>VLOOKUP(D75,Select!B:H,7,FALSE)</f>
        <v>0</v>
      </c>
      <c r="F75" s="1" t="s">
        <v>3</v>
      </c>
      <c r="G75" s="6">
        <f>VLOOKUP(F75,Select!C:H,6,FALSE)</f>
        <v>0</v>
      </c>
      <c r="H75" s="24" t="s">
        <v>992</v>
      </c>
      <c r="I75" s="24">
        <v>2</v>
      </c>
      <c r="J75" s="24">
        <v>2</v>
      </c>
      <c r="K75" s="24">
        <v>2</v>
      </c>
      <c r="L75" s="24"/>
      <c r="M75" s="24" t="b">
        <v>1</v>
      </c>
      <c r="N75" s="24" t="s">
        <v>477</v>
      </c>
      <c r="O75" s="15">
        <f>VLOOKUP(N75,Select!D:H,5,FALSE)</f>
        <v>0</v>
      </c>
    </row>
    <row r="76" spans="1:15">
      <c r="A76" s="23">
        <v>102415</v>
      </c>
      <c r="B76" s="5" t="s">
        <v>26</v>
      </c>
      <c r="C76" s="6">
        <f>VLOOKUP(B76,Select!A:H,8,FALSE)</f>
        <v>4</v>
      </c>
      <c r="D76" s="5" t="s">
        <v>30</v>
      </c>
      <c r="E76" s="6">
        <f>VLOOKUP(D76,Select!B:H,7,FALSE)</f>
        <v>3</v>
      </c>
      <c r="F76" s="5" t="s">
        <v>3</v>
      </c>
      <c r="G76" s="6">
        <f>VLOOKUP(F76,Select!C:H,6,FALSE)</f>
        <v>0</v>
      </c>
      <c r="H76" s="24" t="s">
        <v>1005</v>
      </c>
      <c r="I76" s="24">
        <v>2</v>
      </c>
      <c r="J76" s="24">
        <v>4</v>
      </c>
      <c r="K76" s="24">
        <v>3</v>
      </c>
      <c r="L76" s="24"/>
      <c r="M76" s="24" t="b">
        <v>1</v>
      </c>
      <c r="N76" s="24" t="s">
        <v>477</v>
      </c>
      <c r="O76" s="15">
        <f>VLOOKUP(N76,Select!D:H,5,FALSE)</f>
        <v>0</v>
      </c>
    </row>
    <row r="77" spans="1:15">
      <c r="A77" s="23">
        <v>102500</v>
      </c>
      <c r="B77" s="1" t="s">
        <v>534</v>
      </c>
      <c r="C77" s="6">
        <f>VLOOKUP(B77,Select!A:H,8,FALSE)</f>
        <v>8</v>
      </c>
      <c r="D77" s="1" t="s">
        <v>10</v>
      </c>
      <c r="E77" s="6">
        <f>VLOOKUP(D77,Select!B:H,7,FALSE)</f>
        <v>0</v>
      </c>
      <c r="F77" s="1" t="s">
        <v>3</v>
      </c>
      <c r="G77" s="6">
        <f>VLOOKUP(F77,Select!C:H,6,FALSE)</f>
        <v>0</v>
      </c>
      <c r="H77" s="24" t="s">
        <v>1006</v>
      </c>
      <c r="I77" s="24">
        <v>2</v>
      </c>
      <c r="J77" s="24">
        <v>2</v>
      </c>
      <c r="K77" s="24">
        <v>2</v>
      </c>
      <c r="L77" s="24"/>
      <c r="M77" s="24" t="b">
        <v>0</v>
      </c>
      <c r="N77" s="24" t="s">
        <v>477</v>
      </c>
      <c r="O77" s="15">
        <f>VLOOKUP(N77,Select!D:H,5,FALSE)</f>
        <v>0</v>
      </c>
    </row>
    <row r="78" spans="1:15">
      <c r="A78" s="23">
        <v>102501</v>
      </c>
      <c r="B78" s="5" t="s">
        <v>534</v>
      </c>
      <c r="C78" s="6">
        <f>VLOOKUP(B78,Select!A:H,8,FALSE)</f>
        <v>8</v>
      </c>
      <c r="D78" s="5" t="s">
        <v>10</v>
      </c>
      <c r="E78" s="6">
        <f>VLOOKUP(D78,Select!B:H,7,FALSE)</f>
        <v>0</v>
      </c>
      <c r="F78" s="5" t="s">
        <v>3</v>
      </c>
      <c r="G78" s="6">
        <f>VLOOKUP(F78,Select!C:H,6,FALSE)</f>
        <v>0</v>
      </c>
      <c r="H78" s="24" t="s">
        <v>1007</v>
      </c>
      <c r="I78" s="24">
        <v>3</v>
      </c>
      <c r="J78" s="24">
        <v>2</v>
      </c>
      <c r="K78" s="24">
        <v>3</v>
      </c>
      <c r="L78" s="24"/>
      <c r="M78" s="24" t="b">
        <v>0</v>
      </c>
      <c r="N78" s="24" t="s">
        <v>477</v>
      </c>
      <c r="O78" s="15">
        <f>VLOOKUP(N78,Select!D:H,5,FALSE)</f>
        <v>0</v>
      </c>
    </row>
    <row r="79" spans="1:15">
      <c r="A79" s="23">
        <v>102502</v>
      </c>
      <c r="B79" s="1" t="s">
        <v>534</v>
      </c>
      <c r="C79" s="6">
        <f>VLOOKUP(B79,Select!A:H,8,FALSE)</f>
        <v>8</v>
      </c>
      <c r="D79" s="1" t="s">
        <v>10</v>
      </c>
      <c r="E79" s="6">
        <f>VLOOKUP(D79,Select!B:H,7,FALSE)</f>
        <v>0</v>
      </c>
      <c r="F79" s="1" t="s">
        <v>3</v>
      </c>
      <c r="G79" s="6">
        <f>VLOOKUP(F79,Select!C:H,6,FALSE)</f>
        <v>0</v>
      </c>
      <c r="H79" s="24" t="s">
        <v>1008</v>
      </c>
      <c r="I79" s="24">
        <v>3</v>
      </c>
      <c r="J79" s="24">
        <v>1</v>
      </c>
      <c r="K79" s="24">
        <v>4</v>
      </c>
      <c r="L79" s="24"/>
      <c r="M79" s="24" t="b">
        <v>0</v>
      </c>
      <c r="N79" s="24" t="s">
        <v>477</v>
      </c>
      <c r="O79" s="15">
        <f>VLOOKUP(N79,Select!D:H,5,FALSE)</f>
        <v>0</v>
      </c>
    </row>
    <row r="80" spans="1:15">
      <c r="A80" s="23">
        <v>102503</v>
      </c>
      <c r="B80" s="5" t="s">
        <v>534</v>
      </c>
      <c r="C80" s="6">
        <f>VLOOKUP(B80,Select!A:H,8,FALSE)</f>
        <v>8</v>
      </c>
      <c r="D80" s="5" t="s">
        <v>10</v>
      </c>
      <c r="E80" s="6">
        <f>VLOOKUP(D80,Select!B:H,7,FALSE)</f>
        <v>0</v>
      </c>
      <c r="F80" s="5" t="s">
        <v>3</v>
      </c>
      <c r="G80" s="6">
        <f>VLOOKUP(F80,Select!C:H,6,FALSE)</f>
        <v>0</v>
      </c>
      <c r="H80" s="24" t="s">
        <v>1009</v>
      </c>
      <c r="I80" s="24">
        <v>4</v>
      </c>
      <c r="J80" s="24">
        <v>4</v>
      </c>
      <c r="K80" s="24">
        <v>2</v>
      </c>
      <c r="L80" s="24"/>
      <c r="M80" s="24" t="b">
        <v>0</v>
      </c>
      <c r="N80" s="24" t="s">
        <v>477</v>
      </c>
      <c r="O80" s="15">
        <f>VLOOKUP(N80,Select!D:H,5,FALSE)</f>
        <v>0</v>
      </c>
    </row>
    <row r="81" spans="1:15">
      <c r="A81" s="23">
        <v>102504</v>
      </c>
      <c r="B81" s="1" t="s">
        <v>534</v>
      </c>
      <c r="C81" s="6">
        <f>VLOOKUP(B81,Select!A:H,8,FALSE)</f>
        <v>8</v>
      </c>
      <c r="D81" s="1" t="s">
        <v>10</v>
      </c>
      <c r="E81" s="6">
        <f>VLOOKUP(D81,Select!B:H,7,FALSE)</f>
        <v>0</v>
      </c>
      <c r="F81" s="1" t="s">
        <v>3</v>
      </c>
      <c r="G81" s="6">
        <f>VLOOKUP(F81,Select!C:H,6,FALSE)</f>
        <v>0</v>
      </c>
      <c r="H81" s="24" t="s">
        <v>1010</v>
      </c>
      <c r="I81" s="24">
        <v>5</v>
      </c>
      <c r="J81" s="24">
        <v>3</v>
      </c>
      <c r="K81" s="24">
        <v>5</v>
      </c>
      <c r="L81" s="24"/>
      <c r="M81" s="24" t="b">
        <v>0</v>
      </c>
      <c r="N81" s="24" t="s">
        <v>477</v>
      </c>
      <c r="O81" s="15">
        <f>VLOOKUP(N81,Select!D:H,5,FALSE)</f>
        <v>0</v>
      </c>
    </row>
    <row r="82" spans="1:15">
      <c r="A82" s="23">
        <v>102505</v>
      </c>
      <c r="B82" s="5" t="s">
        <v>534</v>
      </c>
      <c r="C82" s="6">
        <f>VLOOKUP(B82,Select!A:H,8,FALSE)</f>
        <v>8</v>
      </c>
      <c r="D82" s="5" t="s">
        <v>10</v>
      </c>
      <c r="E82" s="6">
        <f>VLOOKUP(D82,Select!B:H,7,FALSE)</f>
        <v>0</v>
      </c>
      <c r="F82" s="5" t="s">
        <v>23</v>
      </c>
      <c r="G82" s="6">
        <f>VLOOKUP(F82,Select!C:H,6,FALSE)</f>
        <v>1</v>
      </c>
      <c r="H82" s="24" t="s">
        <v>1011</v>
      </c>
      <c r="I82" s="24">
        <v>3</v>
      </c>
      <c r="J82" s="24"/>
      <c r="K82" s="24"/>
      <c r="L82" s="24"/>
      <c r="M82" s="24" t="b">
        <v>0</v>
      </c>
      <c r="N82" s="24" t="s">
        <v>477</v>
      </c>
      <c r="O82" s="15">
        <f>VLOOKUP(N82,Select!D:H,5,FALSE)</f>
        <v>0</v>
      </c>
    </row>
    <row r="83" spans="1:15">
      <c r="A83" s="23">
        <v>102506</v>
      </c>
      <c r="B83" s="1" t="s">
        <v>534</v>
      </c>
      <c r="C83" s="6">
        <f>VLOOKUP(B83,Select!A:H,8,FALSE)</f>
        <v>8</v>
      </c>
      <c r="D83" s="1" t="s">
        <v>36</v>
      </c>
      <c r="E83" s="6">
        <f>VLOOKUP(D83,Select!B:H,7,FALSE)</f>
        <v>1</v>
      </c>
      <c r="F83" s="1" t="s">
        <v>3</v>
      </c>
      <c r="G83" s="6">
        <f>VLOOKUP(F83,Select!C:H,6,FALSE)</f>
        <v>0</v>
      </c>
      <c r="H83" s="24" t="s">
        <v>1012</v>
      </c>
      <c r="I83" s="24">
        <v>3</v>
      </c>
      <c r="J83" s="24">
        <v>1</v>
      </c>
      <c r="K83" s="24">
        <v>1</v>
      </c>
      <c r="L83" s="24"/>
      <c r="M83" s="24" t="b">
        <v>0</v>
      </c>
      <c r="N83" s="24" t="s">
        <v>477</v>
      </c>
      <c r="O83" s="15">
        <f>VLOOKUP(N83,Select!D:H,5,FALSE)</f>
        <v>0</v>
      </c>
    </row>
    <row r="84" spans="1:15">
      <c r="A84" s="23">
        <v>102507</v>
      </c>
      <c r="B84" s="5" t="s">
        <v>534</v>
      </c>
      <c r="C84" s="6">
        <f>VLOOKUP(B84,Select!A:H,8,FALSE)</f>
        <v>8</v>
      </c>
      <c r="D84" s="5" t="s">
        <v>36</v>
      </c>
      <c r="E84" s="6">
        <f>VLOOKUP(D84,Select!B:H,7,FALSE)</f>
        <v>1</v>
      </c>
      <c r="F84" s="5" t="s">
        <v>3</v>
      </c>
      <c r="G84" s="6">
        <f>VLOOKUP(F84,Select!C:H,6,FALSE)</f>
        <v>0</v>
      </c>
      <c r="H84" s="24" t="s">
        <v>1013</v>
      </c>
      <c r="I84" s="24">
        <v>5</v>
      </c>
      <c r="J84" s="24">
        <v>4</v>
      </c>
      <c r="K84" s="24">
        <v>5</v>
      </c>
      <c r="L84" s="24"/>
      <c r="M84" s="24" t="b">
        <v>0</v>
      </c>
      <c r="N84" s="24" t="s">
        <v>477</v>
      </c>
      <c r="O84" s="15">
        <f>VLOOKUP(N84,Select!D:H,5,FALSE)</f>
        <v>0</v>
      </c>
    </row>
    <row r="85" spans="1:15">
      <c r="A85" s="23">
        <v>102508</v>
      </c>
      <c r="B85" s="1" t="s">
        <v>534</v>
      </c>
      <c r="C85" s="6">
        <f>VLOOKUP(B85,Select!A:H,8,FALSE)</f>
        <v>8</v>
      </c>
      <c r="D85" s="1" t="s">
        <v>36</v>
      </c>
      <c r="E85" s="6">
        <f>VLOOKUP(D85,Select!B:H,7,FALSE)</f>
        <v>1</v>
      </c>
      <c r="F85" s="1" t="s">
        <v>3</v>
      </c>
      <c r="G85" s="6">
        <f>VLOOKUP(F85,Select!C:H,6,FALSE)</f>
        <v>0</v>
      </c>
      <c r="H85" s="24" t="s">
        <v>1015</v>
      </c>
      <c r="I85" s="24">
        <v>9</v>
      </c>
      <c r="J85" s="24">
        <v>5</v>
      </c>
      <c r="K85" s="24">
        <v>9</v>
      </c>
      <c r="L85" s="24"/>
      <c r="M85" s="24" t="b">
        <v>0</v>
      </c>
      <c r="N85" s="24" t="s">
        <v>477</v>
      </c>
      <c r="O85" s="15">
        <f>VLOOKUP(N85,Select!D:H,5,FALSE)</f>
        <v>0</v>
      </c>
    </row>
    <row r="86" spans="1:15">
      <c r="A86" s="23">
        <v>102509</v>
      </c>
      <c r="B86" s="5" t="s">
        <v>534</v>
      </c>
      <c r="C86" s="6">
        <f>VLOOKUP(B86,Select!A:H,8,FALSE)</f>
        <v>8</v>
      </c>
      <c r="D86" s="5" t="s">
        <v>36</v>
      </c>
      <c r="E86" s="6">
        <f>VLOOKUP(D86,Select!B:H,7,FALSE)</f>
        <v>1</v>
      </c>
      <c r="F86" s="5" t="s">
        <v>23</v>
      </c>
      <c r="G86" s="6">
        <f>VLOOKUP(F86,Select!C:H,6,FALSE)</f>
        <v>1</v>
      </c>
      <c r="H86" s="24" t="s">
        <v>1014</v>
      </c>
      <c r="I86" s="24">
        <v>2</v>
      </c>
      <c r="J86" s="24"/>
      <c r="K86" s="24"/>
      <c r="L86" s="24"/>
      <c r="M86" s="24" t="b">
        <v>0</v>
      </c>
      <c r="N86" s="24" t="s">
        <v>477</v>
      </c>
      <c r="O86" s="15">
        <f>VLOOKUP(N86,Select!D:H,5,FALSE)</f>
        <v>0</v>
      </c>
    </row>
    <row r="87" spans="1:15">
      <c r="A87" s="23">
        <v>102510</v>
      </c>
      <c r="B87" s="1" t="s">
        <v>534</v>
      </c>
      <c r="C87" s="6">
        <f>VLOOKUP(B87,Select!A:H,8,FALSE)</f>
        <v>8</v>
      </c>
      <c r="D87" s="1" t="s">
        <v>21</v>
      </c>
      <c r="E87" s="6">
        <f>VLOOKUP(D87,Select!B:H,7,FALSE)</f>
        <v>2</v>
      </c>
      <c r="F87" s="1" t="s">
        <v>3</v>
      </c>
      <c r="G87" s="6">
        <f>VLOOKUP(F87,Select!C:H,6,FALSE)</f>
        <v>0</v>
      </c>
      <c r="H87" s="24" t="s">
        <v>1016</v>
      </c>
      <c r="I87" s="24">
        <v>5</v>
      </c>
      <c r="J87" s="24">
        <v>5</v>
      </c>
      <c r="K87" s="24">
        <v>4</v>
      </c>
      <c r="L87" s="24"/>
      <c r="M87" s="24" t="b">
        <v>0</v>
      </c>
      <c r="N87" s="24" t="s">
        <v>477</v>
      </c>
      <c r="O87" s="15">
        <f>VLOOKUP(N87,Select!D:H,5,FALSE)</f>
        <v>0</v>
      </c>
    </row>
    <row r="88" spans="1:15">
      <c r="A88" s="23">
        <v>102511</v>
      </c>
      <c r="B88" s="5" t="s">
        <v>534</v>
      </c>
      <c r="C88" s="6">
        <f>VLOOKUP(B88,Select!A:H,8,FALSE)</f>
        <v>8</v>
      </c>
      <c r="D88" s="5" t="s">
        <v>21</v>
      </c>
      <c r="E88" s="6">
        <f>VLOOKUP(D88,Select!B:H,7,FALSE)</f>
        <v>2</v>
      </c>
      <c r="F88" s="5" t="s">
        <v>34</v>
      </c>
      <c r="G88" s="6">
        <f>VLOOKUP(F88,Select!C:H,6,FALSE)</f>
        <v>2</v>
      </c>
      <c r="H88" s="24" t="s">
        <v>1017</v>
      </c>
      <c r="I88" s="24">
        <v>3</v>
      </c>
      <c r="J88" s="24"/>
      <c r="K88" s="24"/>
      <c r="L88" s="24"/>
      <c r="M88" s="24" t="b">
        <v>0</v>
      </c>
      <c r="N88" s="24" t="s">
        <v>477</v>
      </c>
      <c r="O88" s="15">
        <f>VLOOKUP(N88,Select!D:H,5,FALSE)</f>
        <v>0</v>
      </c>
    </row>
    <row r="89" spans="1:15">
      <c r="A89" s="23">
        <v>102512</v>
      </c>
      <c r="B89" s="1" t="s">
        <v>534</v>
      </c>
      <c r="C89" s="6">
        <f>VLOOKUP(B89,Select!A:H,8,FALSE)</f>
        <v>8</v>
      </c>
      <c r="D89" s="1" t="s">
        <v>21</v>
      </c>
      <c r="E89" s="6">
        <f>VLOOKUP(D89,Select!B:H,7,FALSE)</f>
        <v>2</v>
      </c>
      <c r="F89" s="1" t="s">
        <v>34</v>
      </c>
      <c r="G89" s="6">
        <f>VLOOKUP(F89,Select!C:H,6,FALSE)</f>
        <v>2</v>
      </c>
      <c r="H89" s="24" t="s">
        <v>1018</v>
      </c>
      <c r="I89" s="24">
        <v>3</v>
      </c>
      <c r="J89" s="24"/>
      <c r="K89" s="24"/>
      <c r="L89" s="24"/>
      <c r="M89" s="24" t="b">
        <v>0</v>
      </c>
      <c r="N89" s="24" t="s">
        <v>477</v>
      </c>
      <c r="O89" s="15">
        <f>VLOOKUP(N89,Select!D:H,5,FALSE)</f>
        <v>0</v>
      </c>
    </row>
    <row r="90" spans="1:15">
      <c r="A90" s="23">
        <v>102513</v>
      </c>
      <c r="B90" s="5" t="s">
        <v>534</v>
      </c>
      <c r="C90" s="6">
        <f>VLOOKUP(B90,Select!A:H,8,FALSE)</f>
        <v>8</v>
      </c>
      <c r="D90" s="5" t="s">
        <v>30</v>
      </c>
      <c r="E90" s="6">
        <f>VLOOKUP(D90,Select!B:H,7,FALSE)</f>
        <v>3</v>
      </c>
      <c r="F90" s="5" t="s">
        <v>3</v>
      </c>
      <c r="G90" s="6">
        <f>VLOOKUP(F90,Select!C:H,6,FALSE)</f>
        <v>0</v>
      </c>
      <c r="H90" s="24" t="s">
        <v>1019</v>
      </c>
      <c r="I90" s="24">
        <v>6</v>
      </c>
      <c r="J90" s="24">
        <v>4</v>
      </c>
      <c r="K90" s="24">
        <v>4</v>
      </c>
      <c r="L90" s="24"/>
      <c r="M90" s="24" t="b">
        <v>0</v>
      </c>
      <c r="N90" s="24" t="s">
        <v>477</v>
      </c>
      <c r="O90" s="15">
        <f>VLOOKUP(N90,Select!D:H,5,FALSE)</f>
        <v>0</v>
      </c>
    </row>
    <row r="91" spans="1:15">
      <c r="A91" s="23">
        <v>102514</v>
      </c>
      <c r="B91" s="1" t="s">
        <v>534</v>
      </c>
      <c r="C91" s="6">
        <f>VLOOKUP(B91,Select!A:H,8,FALSE)</f>
        <v>8</v>
      </c>
      <c r="D91" s="1" t="s">
        <v>30</v>
      </c>
      <c r="E91" s="6">
        <f>VLOOKUP(D91,Select!B:H,7,FALSE)</f>
        <v>3</v>
      </c>
      <c r="F91" s="1" t="s">
        <v>3</v>
      </c>
      <c r="G91" s="6">
        <f>VLOOKUP(F91,Select!C:H,6,FALSE)</f>
        <v>0</v>
      </c>
      <c r="H91" s="24" t="s">
        <v>1020</v>
      </c>
      <c r="I91" s="24">
        <v>4</v>
      </c>
      <c r="J91" s="24">
        <v>2</v>
      </c>
      <c r="K91" s="24">
        <v>3</v>
      </c>
      <c r="L91" s="24"/>
      <c r="M91" s="24" t="b">
        <v>1</v>
      </c>
      <c r="N91" s="24" t="s">
        <v>477</v>
      </c>
      <c r="O91" s="15">
        <f>VLOOKUP(N91,Select!D:H,5,FALSE)</f>
        <v>0</v>
      </c>
    </row>
    <row r="92" spans="1:15">
      <c r="A92" s="23">
        <v>102515</v>
      </c>
      <c r="B92" s="5" t="s">
        <v>534</v>
      </c>
      <c r="C92" s="6">
        <f>VLOOKUP(B92,Select!A:H,8,FALSE)</f>
        <v>8</v>
      </c>
      <c r="D92" s="5" t="s">
        <v>30</v>
      </c>
      <c r="E92" s="6">
        <f>VLOOKUP(D92,Select!B:H,7,FALSE)</f>
        <v>3</v>
      </c>
      <c r="F92" s="5" t="s">
        <v>3</v>
      </c>
      <c r="G92" s="6">
        <f>VLOOKUP(F92,Select!C:H,6,FALSE)</f>
        <v>0</v>
      </c>
      <c r="H92" s="24" t="s">
        <v>1021</v>
      </c>
      <c r="I92" s="24">
        <v>4</v>
      </c>
      <c r="J92" s="24">
        <v>3</v>
      </c>
      <c r="K92" s="24">
        <v>2</v>
      </c>
      <c r="L92" s="24"/>
      <c r="M92" s="24" t="b">
        <v>1</v>
      </c>
      <c r="N92" s="24" t="s">
        <v>477</v>
      </c>
      <c r="O92" s="15">
        <f>VLOOKUP(N92,Select!D:H,5,FALSE)</f>
        <v>0</v>
      </c>
    </row>
    <row r="93" spans="1:15">
      <c r="A93" s="23">
        <v>102516</v>
      </c>
      <c r="B93" s="1" t="s">
        <v>534</v>
      </c>
      <c r="C93" s="6">
        <f>VLOOKUP(B93,Select!A:H,8,FALSE)</f>
        <v>8</v>
      </c>
      <c r="D93" s="1" t="s">
        <v>30</v>
      </c>
      <c r="E93" s="6">
        <f>VLOOKUP(D93,Select!B:H,7,FALSE)</f>
        <v>3</v>
      </c>
      <c r="F93" s="1" t="s">
        <v>3</v>
      </c>
      <c r="G93" s="6">
        <f>VLOOKUP(F93,Select!C:H,6,FALSE)</f>
        <v>0</v>
      </c>
      <c r="H93" s="24" t="s">
        <v>1022</v>
      </c>
      <c r="I93" s="24">
        <v>4</v>
      </c>
      <c r="J93" s="24">
        <v>4</v>
      </c>
      <c r="K93" s="24">
        <v>4</v>
      </c>
      <c r="L93" s="24"/>
      <c r="M93" s="24" t="b">
        <v>1</v>
      </c>
      <c r="N93" s="24" t="s">
        <v>477</v>
      </c>
      <c r="O93" s="15">
        <f>VLOOKUP(N93,Select!D:H,5,FALSE)</f>
        <v>0</v>
      </c>
    </row>
    <row r="94" spans="1:15">
      <c r="A94" s="23">
        <v>102600</v>
      </c>
      <c r="B94" s="5" t="s">
        <v>532</v>
      </c>
      <c r="C94" s="6">
        <f>VLOOKUP(B94,Select!A:H,8,FALSE)</f>
        <v>9</v>
      </c>
      <c r="D94" s="5" t="s">
        <v>10</v>
      </c>
      <c r="E94" s="6">
        <f>VLOOKUP(D94,Select!B:H,7,FALSE)</f>
        <v>0</v>
      </c>
      <c r="F94" s="5" t="s">
        <v>3</v>
      </c>
      <c r="G94" s="6">
        <f>VLOOKUP(F94,Select!C:H,6,FALSE)</f>
        <v>0</v>
      </c>
      <c r="H94" s="24" t="s">
        <v>1023</v>
      </c>
      <c r="I94" s="24">
        <v>2</v>
      </c>
      <c r="J94" s="24">
        <v>2</v>
      </c>
      <c r="K94" s="24">
        <v>2</v>
      </c>
      <c r="L94" s="24"/>
      <c r="M94" s="24" t="b">
        <v>0</v>
      </c>
      <c r="N94" s="24" t="s">
        <v>477</v>
      </c>
      <c r="O94" s="15">
        <f>VLOOKUP(N94,Select!D:H,5,FALSE)</f>
        <v>0</v>
      </c>
    </row>
    <row r="95" spans="1:15">
      <c r="A95" s="23">
        <v>102601</v>
      </c>
      <c r="B95" s="1" t="s">
        <v>532</v>
      </c>
      <c r="C95" s="6">
        <f>VLOOKUP(B95,Select!A:H,8,FALSE)</f>
        <v>9</v>
      </c>
      <c r="D95" s="1" t="s">
        <v>10</v>
      </c>
      <c r="E95" s="6">
        <f>VLOOKUP(D95,Select!B:H,7,FALSE)</f>
        <v>0</v>
      </c>
      <c r="F95" s="1" t="s">
        <v>3</v>
      </c>
      <c r="G95" s="6">
        <f>VLOOKUP(F95,Select!C:H,6,FALSE)</f>
        <v>0</v>
      </c>
      <c r="H95" s="24" t="s">
        <v>1024</v>
      </c>
      <c r="I95" s="24">
        <v>2</v>
      </c>
      <c r="J95" s="24">
        <v>3</v>
      </c>
      <c r="K95" s="24">
        <v>2</v>
      </c>
      <c r="L95" s="24"/>
      <c r="M95" s="24" t="b">
        <v>0</v>
      </c>
      <c r="N95" s="24" t="s">
        <v>477</v>
      </c>
      <c r="O95" s="15">
        <f>VLOOKUP(N95,Select!D:H,5,FALSE)</f>
        <v>0</v>
      </c>
    </row>
    <row r="96" spans="1:15">
      <c r="A96" s="23">
        <v>102602</v>
      </c>
      <c r="B96" s="5" t="s">
        <v>532</v>
      </c>
      <c r="C96" s="6">
        <f>VLOOKUP(B96,Select!A:H,8,FALSE)</f>
        <v>9</v>
      </c>
      <c r="D96" s="5" t="s">
        <v>10</v>
      </c>
      <c r="E96" s="6">
        <f>VLOOKUP(D96,Select!B:H,7,FALSE)</f>
        <v>0</v>
      </c>
      <c r="F96" s="5" t="s">
        <v>3</v>
      </c>
      <c r="G96" s="6">
        <f>VLOOKUP(F96,Select!C:H,6,FALSE)</f>
        <v>0</v>
      </c>
      <c r="H96" s="24" t="s">
        <v>1025</v>
      </c>
      <c r="I96" s="24">
        <v>3</v>
      </c>
      <c r="J96" s="24">
        <v>3</v>
      </c>
      <c r="K96" s="24">
        <v>2</v>
      </c>
      <c r="L96" s="24"/>
      <c r="M96" s="24" t="b">
        <v>0</v>
      </c>
      <c r="N96" s="24" t="s">
        <v>477</v>
      </c>
      <c r="O96" s="15">
        <f>VLOOKUP(N96,Select!D:H,5,FALSE)</f>
        <v>0</v>
      </c>
    </row>
    <row r="97" spans="1:15">
      <c r="A97" s="23">
        <v>102603</v>
      </c>
      <c r="B97" s="1" t="s">
        <v>532</v>
      </c>
      <c r="C97" s="6">
        <f>VLOOKUP(B97,Select!A:H,8,FALSE)</f>
        <v>9</v>
      </c>
      <c r="D97" s="1" t="s">
        <v>10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24" t="s">
        <v>1026</v>
      </c>
      <c r="I97" s="24">
        <v>5</v>
      </c>
      <c r="J97" s="24">
        <v>3</v>
      </c>
      <c r="K97" s="24">
        <v>5</v>
      </c>
      <c r="L97" s="24"/>
      <c r="M97" s="24" t="b">
        <v>0</v>
      </c>
      <c r="N97" s="24" t="s">
        <v>477</v>
      </c>
      <c r="O97" s="15">
        <f>VLOOKUP(N97,Select!D:H,5,FALSE)</f>
        <v>0</v>
      </c>
    </row>
    <row r="98" spans="1:15">
      <c r="A98" s="23">
        <v>102604</v>
      </c>
      <c r="B98" s="5" t="s">
        <v>532</v>
      </c>
      <c r="C98" s="6">
        <f>VLOOKUP(B98,Select!A:H,8,FALSE)</f>
        <v>9</v>
      </c>
      <c r="D98" s="5" t="s">
        <v>10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24" t="s">
        <v>1027</v>
      </c>
      <c r="I98" s="24">
        <v>6</v>
      </c>
      <c r="J98" s="24">
        <v>5</v>
      </c>
      <c r="K98" s="24">
        <v>6</v>
      </c>
      <c r="L98" s="24"/>
      <c r="M98" s="24" t="b">
        <v>0</v>
      </c>
      <c r="N98" s="24" t="s">
        <v>477</v>
      </c>
      <c r="O98" s="15">
        <f>VLOOKUP(N98,Select!D:H,5,FALSE)</f>
        <v>0</v>
      </c>
    </row>
    <row r="99" spans="1:15">
      <c r="A99" s="23">
        <v>102605</v>
      </c>
      <c r="B99" s="1" t="s">
        <v>532</v>
      </c>
      <c r="C99" s="6">
        <f>VLOOKUP(B99,Select!A:H,8,FALSE)</f>
        <v>9</v>
      </c>
      <c r="D99" s="1" t="s">
        <v>10</v>
      </c>
      <c r="E99" s="6">
        <f>VLOOKUP(D99,Select!B:H,7,FALSE)</f>
        <v>0</v>
      </c>
      <c r="F99" s="1" t="s">
        <v>23</v>
      </c>
      <c r="G99" s="6">
        <f>VLOOKUP(F99,Select!C:H,6,FALSE)</f>
        <v>1</v>
      </c>
      <c r="H99" s="24" t="s">
        <v>1028</v>
      </c>
      <c r="I99" s="24">
        <v>2</v>
      </c>
      <c r="J99" s="24"/>
      <c r="K99" s="24"/>
      <c r="L99" s="24"/>
      <c r="M99" s="24" t="b">
        <v>0</v>
      </c>
      <c r="N99" s="24" t="s">
        <v>477</v>
      </c>
      <c r="O99" s="15">
        <f>VLOOKUP(N99,Select!D:H,5,FALSE)</f>
        <v>0</v>
      </c>
    </row>
    <row r="100" spans="1:15">
      <c r="A100" s="23">
        <v>102606</v>
      </c>
      <c r="B100" s="5" t="s">
        <v>532</v>
      </c>
      <c r="C100" s="6">
        <f>VLOOKUP(B100,Select!A:H,8,FALSE)</f>
        <v>9</v>
      </c>
      <c r="D100" s="5" t="s">
        <v>36</v>
      </c>
      <c r="E100" s="6">
        <f>VLOOKUP(D100,Select!B:H,7,FALSE)</f>
        <v>1</v>
      </c>
      <c r="F100" s="5" t="s">
        <v>3</v>
      </c>
      <c r="G100" s="6">
        <f>VLOOKUP(F100,Select!C:H,6,FALSE)</f>
        <v>0</v>
      </c>
      <c r="H100" s="24" t="s">
        <v>1029</v>
      </c>
      <c r="I100" s="24">
        <v>4</v>
      </c>
      <c r="J100" s="24">
        <v>3</v>
      </c>
      <c r="K100" s="24">
        <v>4</v>
      </c>
      <c r="L100" s="24"/>
      <c r="M100" s="24" t="b">
        <v>0</v>
      </c>
      <c r="N100" s="24" t="s">
        <v>477</v>
      </c>
      <c r="O100" s="15">
        <f>VLOOKUP(N100,Select!D:H,5,FALSE)</f>
        <v>0</v>
      </c>
    </row>
    <row r="101" spans="1:15">
      <c r="A101" s="23">
        <v>102607</v>
      </c>
      <c r="B101" s="1" t="s">
        <v>532</v>
      </c>
      <c r="C101" s="6">
        <f>VLOOKUP(B101,Select!A:H,8,FALSE)</f>
        <v>9</v>
      </c>
      <c r="D101" s="1" t="s">
        <v>36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24" t="s">
        <v>1030</v>
      </c>
      <c r="I101" s="24">
        <v>7</v>
      </c>
      <c r="J101" s="24">
        <v>7</v>
      </c>
      <c r="K101" s="24">
        <v>8</v>
      </c>
      <c r="L101" s="24"/>
      <c r="M101" s="24" t="b">
        <v>0</v>
      </c>
      <c r="N101" s="24" t="s">
        <v>477</v>
      </c>
      <c r="O101" s="15">
        <f>VLOOKUP(N101,Select!D:H,5,FALSE)</f>
        <v>0</v>
      </c>
    </row>
    <row r="102" spans="1:15">
      <c r="A102" s="23">
        <v>102608</v>
      </c>
      <c r="B102" s="5" t="s">
        <v>532</v>
      </c>
      <c r="C102" s="6">
        <f>VLOOKUP(B102,Select!A:H,8,FALSE)</f>
        <v>9</v>
      </c>
      <c r="D102" s="5" t="s">
        <v>36</v>
      </c>
      <c r="E102" s="6">
        <f>VLOOKUP(D102,Select!B:H,7,FALSE)</f>
        <v>1</v>
      </c>
      <c r="F102" s="5" t="s">
        <v>23</v>
      </c>
      <c r="G102" s="6">
        <f>VLOOKUP(F102,Select!C:H,6,FALSE)</f>
        <v>1</v>
      </c>
      <c r="H102" s="24" t="s">
        <v>1031</v>
      </c>
      <c r="I102" s="24">
        <v>1</v>
      </c>
      <c r="J102" s="24"/>
      <c r="K102" s="24"/>
      <c r="L102" s="24"/>
      <c r="M102" s="24" t="b">
        <v>0</v>
      </c>
      <c r="N102" s="24" t="s">
        <v>477</v>
      </c>
      <c r="O102" s="15">
        <f>VLOOKUP(N102,Select!D:H,5,FALSE)</f>
        <v>0</v>
      </c>
    </row>
    <row r="103" spans="1:15">
      <c r="A103" s="23">
        <v>102609</v>
      </c>
      <c r="B103" s="1" t="s">
        <v>532</v>
      </c>
      <c r="C103" s="6">
        <f>VLOOKUP(B103,Select!A:H,8,FALSE)</f>
        <v>9</v>
      </c>
      <c r="D103" s="1" t="s">
        <v>36</v>
      </c>
      <c r="E103" s="6">
        <f>VLOOKUP(D103,Select!B:H,7,FALSE)</f>
        <v>1</v>
      </c>
      <c r="F103" s="1" t="s">
        <v>23</v>
      </c>
      <c r="G103" s="6">
        <f>VLOOKUP(F103,Select!C:H,6,FALSE)</f>
        <v>1</v>
      </c>
      <c r="H103" s="24" t="s">
        <v>1032</v>
      </c>
      <c r="I103" s="24">
        <v>2</v>
      </c>
      <c r="J103" s="24"/>
      <c r="K103" s="24"/>
      <c r="L103" s="24"/>
      <c r="M103" s="24" t="b">
        <v>0</v>
      </c>
      <c r="N103" s="24" t="s">
        <v>477</v>
      </c>
      <c r="O103" s="15">
        <f>VLOOKUP(N103,Select!D:H,5,FALSE)</f>
        <v>0</v>
      </c>
    </row>
    <row r="104" spans="1:15">
      <c r="A104" s="23">
        <v>102610</v>
      </c>
      <c r="B104" s="5" t="s">
        <v>532</v>
      </c>
      <c r="C104" s="6">
        <f>VLOOKUP(B104,Select!A:H,8,FALSE)</f>
        <v>9</v>
      </c>
      <c r="D104" s="5" t="s">
        <v>21</v>
      </c>
      <c r="E104" s="6">
        <f>VLOOKUP(D104,Select!B:H,7,FALSE)</f>
        <v>2</v>
      </c>
      <c r="F104" s="5" t="s">
        <v>3</v>
      </c>
      <c r="G104" s="6">
        <f>VLOOKUP(F104,Select!C:H,6,FALSE)</f>
        <v>0</v>
      </c>
      <c r="H104" s="24" t="s">
        <v>1033</v>
      </c>
      <c r="I104" s="24">
        <v>2</v>
      </c>
      <c r="J104" s="24">
        <v>2</v>
      </c>
      <c r="K104" s="24">
        <v>2</v>
      </c>
      <c r="L104" s="24"/>
      <c r="M104" s="24" t="b">
        <v>0</v>
      </c>
      <c r="N104" s="24" t="s">
        <v>477</v>
      </c>
      <c r="O104" s="15">
        <f>VLOOKUP(N104,Select!D:H,5,FALSE)</f>
        <v>0</v>
      </c>
    </row>
    <row r="105" spans="1:15">
      <c r="A105" s="23">
        <v>102611</v>
      </c>
      <c r="B105" s="1" t="s">
        <v>532</v>
      </c>
      <c r="C105" s="6">
        <f>VLOOKUP(B105,Select!A:H,8,FALSE)</f>
        <v>9</v>
      </c>
      <c r="D105" s="1" t="s">
        <v>21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24" t="s">
        <v>1034</v>
      </c>
      <c r="I105" s="24">
        <v>8</v>
      </c>
      <c r="J105" s="24">
        <v>7</v>
      </c>
      <c r="K105" s="24">
        <v>7</v>
      </c>
      <c r="L105" s="24"/>
      <c r="M105" s="24" t="b">
        <v>0</v>
      </c>
      <c r="N105" s="24" t="s">
        <v>477</v>
      </c>
      <c r="O105" s="15">
        <f>VLOOKUP(N105,Select!D:H,5,FALSE)</f>
        <v>0</v>
      </c>
    </row>
    <row r="106" spans="1:15">
      <c r="A106" s="23">
        <v>102612</v>
      </c>
      <c r="B106" s="5" t="s">
        <v>532</v>
      </c>
      <c r="C106" s="6">
        <f>VLOOKUP(B106,Select!A:H,8,FALSE)</f>
        <v>9</v>
      </c>
      <c r="D106" s="5" t="s">
        <v>21</v>
      </c>
      <c r="E106" s="6">
        <f>VLOOKUP(D106,Select!B:H,7,FALSE)</f>
        <v>2</v>
      </c>
      <c r="F106" s="5" t="s">
        <v>34</v>
      </c>
      <c r="G106" s="6">
        <f>VLOOKUP(F106,Select!C:H,6,FALSE)</f>
        <v>2</v>
      </c>
      <c r="H106" s="24" t="s">
        <v>1035</v>
      </c>
      <c r="I106" s="24">
        <v>2</v>
      </c>
      <c r="J106" s="24"/>
      <c r="K106" s="24"/>
      <c r="L106" s="24"/>
      <c r="M106" s="24" t="b">
        <v>0</v>
      </c>
      <c r="N106" s="24" t="s">
        <v>477</v>
      </c>
      <c r="O106" s="15">
        <f>VLOOKUP(N106,Select!D:H,5,FALSE)</f>
        <v>0</v>
      </c>
    </row>
    <row r="107" spans="1:15">
      <c r="A107" s="23">
        <v>102613</v>
      </c>
      <c r="B107" s="1" t="s">
        <v>532</v>
      </c>
      <c r="C107" s="6">
        <f>VLOOKUP(B107,Select!A:H,8,FALSE)</f>
        <v>9</v>
      </c>
      <c r="D107" s="1" t="s">
        <v>30</v>
      </c>
      <c r="E107" s="6">
        <f>VLOOKUP(D107,Select!B:H,7,FALSE)</f>
        <v>3</v>
      </c>
      <c r="F107" s="1" t="s">
        <v>3</v>
      </c>
      <c r="G107" s="6">
        <f>VLOOKUP(F107,Select!C:H,6,FALSE)</f>
        <v>0</v>
      </c>
      <c r="H107" s="24" t="s">
        <v>1036</v>
      </c>
      <c r="I107" s="24">
        <v>5</v>
      </c>
      <c r="J107" s="24">
        <v>4</v>
      </c>
      <c r="K107" s="24">
        <v>5</v>
      </c>
      <c r="L107" s="24"/>
      <c r="M107" s="24" t="b">
        <v>0</v>
      </c>
      <c r="N107" s="24" t="s">
        <v>477</v>
      </c>
      <c r="O107" s="15">
        <f>VLOOKUP(N107,Select!D:H,5,FALSE)</f>
        <v>0</v>
      </c>
    </row>
    <row r="108" spans="1:15">
      <c r="A108" s="23">
        <v>102700</v>
      </c>
      <c r="B108" s="5" t="s">
        <v>29</v>
      </c>
      <c r="C108" s="6">
        <f>VLOOKUP(B108,Select!A:H,8,FALSE)</f>
        <v>6</v>
      </c>
      <c r="D108" s="5" t="s">
        <v>10</v>
      </c>
      <c r="E108" s="6">
        <f>VLOOKUP(D108,Select!B:H,7,FALSE)</f>
        <v>0</v>
      </c>
      <c r="F108" s="5" t="s">
        <v>3</v>
      </c>
      <c r="G108" s="6">
        <f>VLOOKUP(F108,Select!C:H,6,FALSE)</f>
        <v>0</v>
      </c>
      <c r="H108" s="24" t="s">
        <v>1037</v>
      </c>
      <c r="I108" s="24">
        <v>2</v>
      </c>
      <c r="J108" s="24">
        <v>2</v>
      </c>
      <c r="K108" s="24">
        <v>2</v>
      </c>
      <c r="L108" s="24"/>
      <c r="M108" s="24" t="b">
        <v>0</v>
      </c>
      <c r="N108" s="24" t="s">
        <v>477</v>
      </c>
      <c r="O108" s="15">
        <f>VLOOKUP(N108,Select!D:H,5,FALSE)</f>
        <v>0</v>
      </c>
    </row>
    <row r="109" spans="1:15">
      <c r="A109" s="23">
        <v>102701</v>
      </c>
      <c r="B109" s="1" t="s">
        <v>29</v>
      </c>
      <c r="C109" s="6">
        <f>VLOOKUP(B109,Select!A:H,8,FALSE)</f>
        <v>6</v>
      </c>
      <c r="D109" s="1" t="s">
        <v>10</v>
      </c>
      <c r="E109" s="6">
        <f>VLOOKUP(D109,Select!B:H,7,FALSE)</f>
        <v>0</v>
      </c>
      <c r="F109" s="1" t="s">
        <v>3</v>
      </c>
      <c r="G109" s="6">
        <f>VLOOKUP(F109,Select!C:H,6,FALSE)</f>
        <v>0</v>
      </c>
      <c r="H109" s="24" t="s">
        <v>1038</v>
      </c>
      <c r="I109" s="24">
        <v>3</v>
      </c>
      <c r="J109" s="24">
        <v>2</v>
      </c>
      <c r="K109" s="24">
        <v>3</v>
      </c>
      <c r="L109" s="24"/>
      <c r="M109" s="24" t="b">
        <v>0</v>
      </c>
      <c r="N109" s="24" t="s">
        <v>477</v>
      </c>
      <c r="O109" s="15">
        <f>VLOOKUP(N109,Select!D:H,5,FALSE)</f>
        <v>0</v>
      </c>
    </row>
    <row r="110" spans="1:15">
      <c r="A110" s="23">
        <v>102702</v>
      </c>
      <c r="B110" s="5" t="s">
        <v>29</v>
      </c>
      <c r="C110" s="6">
        <f>VLOOKUP(B110,Select!A:H,8,FALSE)</f>
        <v>6</v>
      </c>
      <c r="D110" s="5" t="s">
        <v>10</v>
      </c>
      <c r="E110" s="6">
        <f>VLOOKUP(D110,Select!B:H,7,FALSE)</f>
        <v>0</v>
      </c>
      <c r="F110" s="5" t="s">
        <v>3</v>
      </c>
      <c r="G110" s="6">
        <f>VLOOKUP(F110,Select!C:H,6,FALSE)</f>
        <v>0</v>
      </c>
      <c r="H110" s="24" t="s">
        <v>1039</v>
      </c>
      <c r="I110" s="24">
        <v>4</v>
      </c>
      <c r="J110" s="24">
        <v>3</v>
      </c>
      <c r="K110" s="24">
        <v>4</v>
      </c>
      <c r="L110" s="24"/>
      <c r="M110" s="24" t="b">
        <v>0</v>
      </c>
      <c r="N110" s="24" t="s">
        <v>477</v>
      </c>
      <c r="O110" s="15">
        <f>VLOOKUP(N110,Select!D:H,5,FALSE)</f>
        <v>0</v>
      </c>
    </row>
    <row r="111" spans="1:15">
      <c r="A111" s="23">
        <v>102703</v>
      </c>
      <c r="B111" s="1" t="s">
        <v>29</v>
      </c>
      <c r="C111" s="6">
        <f>VLOOKUP(B111,Select!A:H,8,FALSE)</f>
        <v>6</v>
      </c>
      <c r="D111" s="1" t="s">
        <v>10</v>
      </c>
      <c r="E111" s="6">
        <f>VLOOKUP(D111,Select!B:H,7,FALSE)</f>
        <v>0</v>
      </c>
      <c r="F111" s="1" t="s">
        <v>3</v>
      </c>
      <c r="G111" s="6">
        <f>VLOOKUP(F111,Select!C:H,6,FALSE)</f>
        <v>0</v>
      </c>
      <c r="H111" s="24" t="s">
        <v>1040</v>
      </c>
      <c r="I111" s="24">
        <v>5</v>
      </c>
      <c r="J111" s="24">
        <v>4</v>
      </c>
      <c r="K111" s="24">
        <v>5</v>
      </c>
      <c r="L111" s="24"/>
      <c r="M111" s="24" t="b">
        <v>0</v>
      </c>
      <c r="N111" s="24" t="s">
        <v>477</v>
      </c>
      <c r="O111" s="15">
        <f>VLOOKUP(N111,Select!D:H,5,FALSE)</f>
        <v>0</v>
      </c>
    </row>
    <row r="112" spans="1:15">
      <c r="A112" s="23">
        <v>102704</v>
      </c>
      <c r="B112" s="5" t="s">
        <v>29</v>
      </c>
      <c r="C112" s="6">
        <f>VLOOKUP(B112,Select!A:H,8,FALSE)</f>
        <v>6</v>
      </c>
      <c r="D112" s="5" t="s">
        <v>10</v>
      </c>
      <c r="E112" s="6">
        <f>VLOOKUP(D112,Select!B:H,7,FALSE)</f>
        <v>0</v>
      </c>
      <c r="F112" s="5" t="s">
        <v>23</v>
      </c>
      <c r="G112" s="6">
        <f>VLOOKUP(F112,Select!C:H,6,FALSE)</f>
        <v>1</v>
      </c>
      <c r="H112" s="24" t="s">
        <v>1042</v>
      </c>
      <c r="I112" s="24">
        <v>2</v>
      </c>
      <c r="J112" s="24"/>
      <c r="K112" s="24"/>
      <c r="L112" s="24"/>
      <c r="M112" s="24" t="b">
        <v>0</v>
      </c>
      <c r="N112" s="24" t="s">
        <v>477</v>
      </c>
      <c r="O112" s="15">
        <f>VLOOKUP(N112,Select!D:H,5,FALSE)</f>
        <v>0</v>
      </c>
    </row>
    <row r="113" spans="1:15">
      <c r="A113" s="23">
        <v>102705</v>
      </c>
      <c r="B113" s="1" t="s">
        <v>29</v>
      </c>
      <c r="C113" s="6">
        <f>VLOOKUP(B113,Select!A:H,8,FALSE)</f>
        <v>6</v>
      </c>
      <c r="D113" s="1" t="s">
        <v>10</v>
      </c>
      <c r="E113" s="6">
        <f>VLOOKUP(D113,Select!B:H,7,FALSE)</f>
        <v>0</v>
      </c>
      <c r="F113" s="1" t="s">
        <v>34</v>
      </c>
      <c r="G113" s="6">
        <f>VLOOKUP(F113,Select!C:H,6,FALSE)</f>
        <v>2</v>
      </c>
      <c r="H113" s="24" t="s">
        <v>1043</v>
      </c>
      <c r="I113" s="24">
        <v>2</v>
      </c>
      <c r="J113" s="24"/>
      <c r="K113" s="24"/>
      <c r="L113" s="24"/>
      <c r="M113" s="24" t="b">
        <v>0</v>
      </c>
      <c r="N113" s="24" t="s">
        <v>477</v>
      </c>
      <c r="O113" s="15">
        <f>VLOOKUP(N113,Select!D:H,5,FALSE)</f>
        <v>0</v>
      </c>
    </row>
    <row r="114" spans="1:15">
      <c r="A114" s="23">
        <v>102706</v>
      </c>
      <c r="B114" s="5" t="s">
        <v>29</v>
      </c>
      <c r="C114" s="6">
        <f>VLOOKUP(B114,Select!A:H,8,FALSE)</f>
        <v>6</v>
      </c>
      <c r="D114" s="5" t="s">
        <v>36</v>
      </c>
      <c r="E114" s="6">
        <f>VLOOKUP(D114,Select!B:H,7,FALSE)</f>
        <v>1</v>
      </c>
      <c r="F114" s="5" t="s">
        <v>3</v>
      </c>
      <c r="G114" s="6">
        <f>VLOOKUP(F114,Select!C:H,6,FALSE)</f>
        <v>0</v>
      </c>
      <c r="H114" s="24" t="s">
        <v>1044</v>
      </c>
      <c r="I114" s="24">
        <v>3</v>
      </c>
      <c r="J114" s="24">
        <v>2</v>
      </c>
      <c r="K114" s="24">
        <v>3</v>
      </c>
      <c r="L114" s="24"/>
      <c r="M114" s="24" t="b">
        <v>0</v>
      </c>
      <c r="N114" s="24" t="s">
        <v>477</v>
      </c>
      <c r="O114" s="15">
        <f>VLOOKUP(N114,Select!D:H,5,FALSE)</f>
        <v>0</v>
      </c>
    </row>
    <row r="115" spans="1:15">
      <c r="A115" s="23">
        <v>102707</v>
      </c>
      <c r="B115" s="1" t="s">
        <v>29</v>
      </c>
      <c r="C115" s="6">
        <f>VLOOKUP(B115,Select!A:H,8,FALSE)</f>
        <v>6</v>
      </c>
      <c r="D115" s="1" t="s">
        <v>36</v>
      </c>
      <c r="E115" s="6">
        <f>VLOOKUP(D115,Select!B:H,7,FALSE)</f>
        <v>1</v>
      </c>
      <c r="F115" s="1" t="s">
        <v>3</v>
      </c>
      <c r="G115" s="6">
        <f>VLOOKUP(F115,Select!C:H,6,FALSE)</f>
        <v>0</v>
      </c>
      <c r="H115" s="24" t="s">
        <v>1045</v>
      </c>
      <c r="I115" s="24">
        <v>5</v>
      </c>
      <c r="J115" s="24">
        <v>2</v>
      </c>
      <c r="K115" s="24">
        <v>4</v>
      </c>
      <c r="L115" s="24"/>
      <c r="M115" s="24" t="b">
        <v>0</v>
      </c>
      <c r="N115" s="24" t="s">
        <v>477</v>
      </c>
      <c r="O115" s="15">
        <f>VLOOKUP(N115,Select!D:H,5,FALSE)</f>
        <v>0</v>
      </c>
    </row>
    <row r="116" spans="1:15">
      <c r="A116" s="23">
        <v>102708</v>
      </c>
      <c r="B116" s="5" t="s">
        <v>29</v>
      </c>
      <c r="C116" s="6">
        <f>VLOOKUP(B116,Select!A:H,8,FALSE)</f>
        <v>6</v>
      </c>
      <c r="D116" s="5" t="s">
        <v>36</v>
      </c>
      <c r="E116" s="6">
        <f>VLOOKUP(D116,Select!B:H,7,FALSE)</f>
        <v>1</v>
      </c>
      <c r="F116" s="5" t="s">
        <v>34</v>
      </c>
      <c r="G116" s="6">
        <f>VLOOKUP(F116,Select!C:H,6,FALSE)</f>
        <v>2</v>
      </c>
      <c r="H116" s="24" t="s">
        <v>1046</v>
      </c>
      <c r="I116" s="24">
        <v>2</v>
      </c>
      <c r="J116" s="24"/>
      <c r="K116" s="24"/>
      <c r="L116" s="24"/>
      <c r="M116" s="24" t="b">
        <v>0</v>
      </c>
      <c r="N116" s="24" t="s">
        <v>477</v>
      </c>
      <c r="O116" s="15">
        <f>VLOOKUP(N116,Select!D:H,5,FALSE)</f>
        <v>0</v>
      </c>
    </row>
    <row r="117" spans="1:15">
      <c r="A117" s="23">
        <v>102709</v>
      </c>
      <c r="B117" s="1" t="s">
        <v>29</v>
      </c>
      <c r="C117" s="6">
        <f>VLOOKUP(B117,Select!A:H,8,FALSE)</f>
        <v>6</v>
      </c>
      <c r="D117" s="1" t="s">
        <v>36</v>
      </c>
      <c r="E117" s="6">
        <f>VLOOKUP(D117,Select!B:H,7,FALSE)</f>
        <v>1</v>
      </c>
      <c r="F117" s="1" t="s">
        <v>34</v>
      </c>
      <c r="G117" s="6">
        <f>VLOOKUP(F117,Select!C:H,6,FALSE)</f>
        <v>2</v>
      </c>
      <c r="H117" s="24" t="s">
        <v>1047</v>
      </c>
      <c r="I117" s="24">
        <v>3</v>
      </c>
      <c r="J117" s="24"/>
      <c r="K117" s="24"/>
      <c r="L117" s="24"/>
      <c r="M117" s="24" t="b">
        <v>0</v>
      </c>
      <c r="N117" s="24" t="s">
        <v>477</v>
      </c>
      <c r="O117" s="15">
        <f>VLOOKUP(N117,Select!D:H,5,FALSE)</f>
        <v>0</v>
      </c>
    </row>
    <row r="118" spans="1:15">
      <c r="A118" s="23">
        <v>102710</v>
      </c>
      <c r="B118" s="5" t="s">
        <v>29</v>
      </c>
      <c r="C118" s="6">
        <f>VLOOKUP(B118,Select!A:H,8,FALSE)</f>
        <v>6</v>
      </c>
      <c r="D118" s="5" t="s">
        <v>21</v>
      </c>
      <c r="E118" s="6">
        <f>VLOOKUP(D118,Select!B:H,7,FALSE)</f>
        <v>2</v>
      </c>
      <c r="F118" s="5" t="s">
        <v>3</v>
      </c>
      <c r="G118" s="6">
        <f>VLOOKUP(F118,Select!C:H,6,FALSE)</f>
        <v>0</v>
      </c>
      <c r="H118" s="24" t="s">
        <v>1048</v>
      </c>
      <c r="I118" s="24">
        <v>6</v>
      </c>
      <c r="J118" s="24">
        <v>5</v>
      </c>
      <c r="K118" s="24">
        <v>6</v>
      </c>
      <c r="L118" s="24"/>
      <c r="M118" s="24" t="b">
        <v>0</v>
      </c>
      <c r="N118" s="24" t="s">
        <v>477</v>
      </c>
      <c r="O118" s="15">
        <f>VLOOKUP(N118,Select!D:H,5,FALSE)</f>
        <v>0</v>
      </c>
    </row>
    <row r="119" spans="1:15">
      <c r="A119" s="23">
        <v>102711</v>
      </c>
      <c r="B119" s="1" t="s">
        <v>29</v>
      </c>
      <c r="C119" s="6">
        <f>VLOOKUP(B119,Select!A:H,8,FALSE)</f>
        <v>6</v>
      </c>
      <c r="D119" s="1" t="s">
        <v>21</v>
      </c>
      <c r="E119" s="6">
        <f>VLOOKUP(D119,Select!B:H,7,FALSE)</f>
        <v>2</v>
      </c>
      <c r="F119" s="1" t="s">
        <v>3</v>
      </c>
      <c r="G119" s="6">
        <f>VLOOKUP(F119,Select!C:H,6,FALSE)</f>
        <v>0</v>
      </c>
      <c r="H119" s="24" t="s">
        <v>1049</v>
      </c>
      <c r="I119" s="24">
        <v>6</v>
      </c>
      <c r="J119" s="24">
        <v>4</v>
      </c>
      <c r="K119" s="24">
        <v>4</v>
      </c>
      <c r="L119" s="24"/>
      <c r="M119" s="24" t="b">
        <v>0</v>
      </c>
      <c r="N119" s="24" t="s">
        <v>477</v>
      </c>
      <c r="O119" s="15">
        <f>VLOOKUP(N119,Select!D:H,5,FALSE)</f>
        <v>0</v>
      </c>
    </row>
    <row r="120" spans="1:15">
      <c r="A120" s="23">
        <v>102712</v>
      </c>
      <c r="B120" s="5" t="s">
        <v>29</v>
      </c>
      <c r="C120" s="6">
        <f>VLOOKUP(B120,Select!A:H,8,FALSE)</f>
        <v>6</v>
      </c>
      <c r="D120" s="5" t="s">
        <v>21</v>
      </c>
      <c r="E120" s="6">
        <f>VLOOKUP(D120,Select!B:H,7,FALSE)</f>
        <v>2</v>
      </c>
      <c r="F120" s="5" t="s">
        <v>34</v>
      </c>
      <c r="G120" s="6">
        <f>VLOOKUP(F120,Select!C:H,6,FALSE)</f>
        <v>2</v>
      </c>
      <c r="H120" s="24" t="s">
        <v>1050</v>
      </c>
      <c r="I120" s="24">
        <v>3</v>
      </c>
      <c r="J120" s="24"/>
      <c r="K120" s="24"/>
      <c r="L120" s="24"/>
      <c r="M120" s="24" t="b">
        <v>0</v>
      </c>
      <c r="N120" s="24" t="s">
        <v>477</v>
      </c>
      <c r="O120" s="15">
        <f>VLOOKUP(N120,Select!D:H,5,FALSE)</f>
        <v>0</v>
      </c>
    </row>
    <row r="121" spans="1:15">
      <c r="A121" s="23">
        <v>102713</v>
      </c>
      <c r="B121" s="1" t="s">
        <v>29</v>
      </c>
      <c r="C121" s="6">
        <f>VLOOKUP(B121,Select!A:H,8,FALSE)</f>
        <v>6</v>
      </c>
      <c r="D121" s="1" t="s">
        <v>30</v>
      </c>
      <c r="E121" s="6">
        <f>VLOOKUP(D121,Select!B:H,7,FALSE)</f>
        <v>3</v>
      </c>
      <c r="F121" s="1" t="s">
        <v>34</v>
      </c>
      <c r="G121" s="6">
        <f>VLOOKUP(F121,Select!C:H,6,FALSE)</f>
        <v>2</v>
      </c>
      <c r="H121" s="24" t="s">
        <v>1052</v>
      </c>
      <c r="I121" s="24">
        <v>8</v>
      </c>
      <c r="J121" s="24"/>
      <c r="K121" s="24"/>
      <c r="L121" s="24"/>
      <c r="M121" s="24" t="b">
        <v>0</v>
      </c>
      <c r="N121" s="24" t="s">
        <v>477</v>
      </c>
      <c r="O121" s="15">
        <f>VLOOKUP(N121,Select!D:H,5,FALSE)</f>
        <v>0</v>
      </c>
    </row>
    <row r="122" spans="1:15">
      <c r="A122" s="23">
        <v>102714</v>
      </c>
      <c r="B122" s="5" t="s">
        <v>29</v>
      </c>
      <c r="C122" s="6">
        <f>VLOOKUP(B122,Select!A:H,8,FALSE)</f>
        <v>6</v>
      </c>
      <c r="D122" s="5" t="s">
        <v>10</v>
      </c>
      <c r="E122" s="6">
        <f>VLOOKUP(D122,Select!B:H,7,FALSE)</f>
        <v>0</v>
      </c>
      <c r="F122" s="5" t="s">
        <v>3</v>
      </c>
      <c r="G122" s="6">
        <f>VLOOKUP(F122,Select!C:H,6,FALSE)</f>
        <v>0</v>
      </c>
      <c r="H122" s="24" t="s">
        <v>1041</v>
      </c>
      <c r="I122" s="24">
        <v>5</v>
      </c>
      <c r="J122" s="24">
        <v>3</v>
      </c>
      <c r="K122" s="24">
        <v>5</v>
      </c>
      <c r="L122" s="24"/>
      <c r="M122" s="24" t="b">
        <v>1</v>
      </c>
      <c r="N122" s="24" t="s">
        <v>477</v>
      </c>
      <c r="O122" s="15">
        <f>VLOOKUP(N122,Select!D:H,5,FALSE)</f>
        <v>0</v>
      </c>
    </row>
    <row r="123" spans="1:15">
      <c r="A123" s="23">
        <v>102715</v>
      </c>
      <c r="B123" s="1" t="s">
        <v>29</v>
      </c>
      <c r="C123" s="6">
        <f>VLOOKUP(B123,Select!A:H,8,FALSE)</f>
        <v>6</v>
      </c>
      <c r="D123" s="1" t="s">
        <v>21</v>
      </c>
      <c r="E123" s="6">
        <f>VLOOKUP(D123,Select!B:H,7,FALSE)</f>
        <v>2</v>
      </c>
      <c r="F123" s="1" t="s">
        <v>34</v>
      </c>
      <c r="G123" s="6">
        <f>VLOOKUP(F123,Select!C:H,6,FALSE)</f>
        <v>2</v>
      </c>
      <c r="H123" s="24" t="s">
        <v>1051</v>
      </c>
      <c r="I123" s="24">
        <v>6</v>
      </c>
      <c r="J123" s="24"/>
      <c r="K123" s="24"/>
      <c r="L123" s="24"/>
      <c r="M123" s="24" t="b">
        <v>1</v>
      </c>
      <c r="N123" s="24" t="s">
        <v>477</v>
      </c>
      <c r="O123" s="15">
        <f>VLOOKUP(N123,Select!D:H,5,FALSE)</f>
        <v>0</v>
      </c>
    </row>
    <row r="124" spans="1:15">
      <c r="A124" s="23">
        <v>102716</v>
      </c>
      <c r="B124" s="5" t="s">
        <v>29</v>
      </c>
      <c r="C124" s="6">
        <f>VLOOKUP(B124,Select!A:H,8,FALSE)</f>
        <v>6</v>
      </c>
      <c r="D124" s="5" t="s">
        <v>30</v>
      </c>
      <c r="E124" s="6">
        <f>VLOOKUP(D124,Select!B:H,7,FALSE)</f>
        <v>3</v>
      </c>
      <c r="F124" s="5" t="s">
        <v>34</v>
      </c>
      <c r="G124" s="6">
        <f>VLOOKUP(F124,Select!C:H,6,FALSE)</f>
        <v>2</v>
      </c>
      <c r="H124" s="24" t="s">
        <v>1053</v>
      </c>
      <c r="I124" s="24">
        <v>8</v>
      </c>
      <c r="J124" s="24"/>
      <c r="K124" s="24"/>
      <c r="L124" s="24"/>
      <c r="M124" s="24" t="b">
        <v>1</v>
      </c>
      <c r="N124" s="24" t="s">
        <v>477</v>
      </c>
      <c r="O124" s="15">
        <f>VLOOKUP(N124,Select!D:H,5,FALSE)</f>
        <v>0</v>
      </c>
    </row>
    <row r="125" spans="1:15">
      <c r="A125" s="23">
        <v>102717</v>
      </c>
      <c r="B125" s="1" t="s">
        <v>29</v>
      </c>
      <c r="C125" s="6">
        <f>VLOOKUP(B125,Select!A:H,8,FALSE)</f>
        <v>6</v>
      </c>
      <c r="D125" s="1" t="s">
        <v>30</v>
      </c>
      <c r="E125" s="6">
        <f>VLOOKUP(D125,Select!B:H,7,FALSE)</f>
        <v>3</v>
      </c>
      <c r="F125" s="1" t="s">
        <v>34</v>
      </c>
      <c r="G125" s="6">
        <f>VLOOKUP(F125,Select!C:H,6,FALSE)</f>
        <v>2</v>
      </c>
      <c r="H125" s="24" t="s">
        <v>1054</v>
      </c>
      <c r="I125" s="24">
        <v>8</v>
      </c>
      <c r="J125" s="24"/>
      <c r="K125" s="24"/>
      <c r="L125" s="24"/>
      <c r="M125" s="24" t="b">
        <v>1</v>
      </c>
      <c r="N125" s="24" t="s">
        <v>477</v>
      </c>
      <c r="O125" s="15">
        <f>VLOOKUP(N125,Select!D:H,5,FALSE)</f>
        <v>0</v>
      </c>
    </row>
    <row r="126" spans="1:15">
      <c r="A126" s="27">
        <v>102718</v>
      </c>
      <c r="B126" s="19" t="s">
        <v>29</v>
      </c>
      <c r="C126" s="9">
        <f>VLOOKUP(B126,Select!A:H,8,FALSE)</f>
        <v>6</v>
      </c>
      <c r="D126" s="19" t="s">
        <v>30</v>
      </c>
      <c r="E126" s="9">
        <f>VLOOKUP(D126,Select!B:H,7,FALSE)</f>
        <v>3</v>
      </c>
      <c r="F126" s="19" t="s">
        <v>34</v>
      </c>
      <c r="G126" s="9">
        <f>VLOOKUP(F126,Select!C:H,6,FALSE)</f>
        <v>2</v>
      </c>
      <c r="H126" s="28" t="s">
        <v>1055</v>
      </c>
      <c r="I126" s="28">
        <v>8</v>
      </c>
      <c r="J126" s="28"/>
      <c r="K126" s="28"/>
      <c r="L126" s="28"/>
      <c r="M126" s="28" t="b">
        <v>1</v>
      </c>
      <c r="N126" s="28" t="s">
        <v>477</v>
      </c>
      <c r="O126" s="20">
        <f>VLOOKUP(N126,Select!D:H,5,FALSE)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90CF94A3-2C74-44B7-9B79-5CC44C1A0B7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565F2FC-7B52-403E-AF4E-755967200B5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94BC9A1-AD66-4826-A5E1-6BAB5D86E0EB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0E11AD30-E42A-42EF-A7FB-94CCC06D5D3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474F845C-2612-40C0-AF53-921BFE99862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BC87132A-C4C5-4366-A213-A5841027BC69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E8E2EE8E-88C5-4C6A-826E-6AF6337E0265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C533C26-9009-416F-930D-A75E3965324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B1:B126</xm:sqref>
        </x14:conditionalFormatting>
        <x14:conditionalFormatting xmlns:xm="http://schemas.microsoft.com/office/excel/2006/main">
          <x14:cfRule type="containsText" priority="1" operator="containsText" id="{350CB75C-7A7D-4BD1-AE24-8894D5A6CF3F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46386EB-4B6F-45D3-A4F6-D7C245A11CDD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B2:B126</xm:sqref>
        </x14:conditionalFormatting>
        <x14:conditionalFormatting xmlns:xm="http://schemas.microsoft.com/office/excel/2006/main">
          <x14:cfRule type="containsText" priority="6" operator="containsText" id="{9238EA3C-A58C-4921-8847-C78A6C376A2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808BB709-2549-4F12-AE39-D8F2DC1CEA3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2867C9-278C-4E08-8C37-BBE9D6E8AE86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D84DC72E-F591-41E9-B54B-5EC6BEB49553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D1:D126</xm:sqref>
        </x14:conditionalFormatting>
        <x14:conditionalFormatting xmlns:xm="http://schemas.microsoft.com/office/excel/2006/main">
          <x14:cfRule type="containsText" priority="3" operator="containsText" id="{F3D2602B-9613-49AA-AF71-5489B6B9E32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941B668-D4C3-4D55-B05C-267190C8D75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5B07CA0-71B7-42CF-9B8C-E68AEF576A20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DB33C9E-CF4A-4A7C-B3D3-8A1C42F6A4AA}">
          <x14:formula1>
            <xm:f>Select!$D:$D</xm:f>
          </x14:formula1>
          <xm:sqref>N2:N126</xm:sqref>
        </x14:dataValidation>
        <x14:dataValidation type="list" allowBlank="1" showInputMessage="1" showErrorMessage="1" xr:uid="{64846392-5FD6-4BAD-9614-BF15B4405101}">
          <x14:formula1>
            <xm:f>Select!$C:$C</xm:f>
          </x14:formula1>
          <xm:sqref>F2:F126</xm:sqref>
        </x14:dataValidation>
        <x14:dataValidation type="list" allowBlank="1" showInputMessage="1" showErrorMessage="1" xr:uid="{60584D9A-174B-43EF-977E-E7ABD9F475F8}">
          <x14:formula1>
            <xm:f>Select!$B:$B</xm:f>
          </x14:formula1>
          <xm:sqref>D2:D126</xm:sqref>
        </x14:dataValidation>
        <x14:dataValidation type="list" allowBlank="1" showInputMessage="1" showErrorMessage="1" xr:uid="{F3F45934-F369-4048-8497-7DD3F23E52B8}">
          <x14:formula1>
            <xm:f>Select!$A:$A</xm:f>
          </x14:formula1>
          <xm:sqref>B2:B126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C029A-F8DA-48C9-B3AB-0FBBE8B7E0A1}">
  <dimension ref="A1:O108"/>
  <sheetViews>
    <sheetView workbookViewId="0">
      <selection activeCell="R13" sqref="R13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6" t="s">
        <v>292</v>
      </c>
      <c r="B1" s="17" t="s">
        <v>293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7</v>
      </c>
      <c r="I1" s="17" t="s">
        <v>8</v>
      </c>
      <c r="J1" s="17" t="s">
        <v>9</v>
      </c>
      <c r="K1" s="17" t="s">
        <v>299</v>
      </c>
      <c r="L1" s="17" t="s">
        <v>300</v>
      </c>
      <c r="M1" s="17" t="s">
        <v>301</v>
      </c>
      <c r="N1" s="17" t="s">
        <v>475</v>
      </c>
      <c r="O1" s="18" t="s">
        <v>476</v>
      </c>
    </row>
    <row r="2" spans="1:15">
      <c r="A2" s="23">
        <v>103000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24" t="s">
        <v>1056</v>
      </c>
      <c r="I2" s="24">
        <v>2</v>
      </c>
      <c r="J2" s="24">
        <v>2</v>
      </c>
      <c r="K2" s="24">
        <v>2</v>
      </c>
      <c r="L2" s="24"/>
      <c r="M2" s="24" t="b">
        <v>0</v>
      </c>
      <c r="N2" s="24" t="s">
        <v>477</v>
      </c>
      <c r="O2" s="15">
        <f>VLOOKUP(N2,Select!D:H,5,FALSE)</f>
        <v>0</v>
      </c>
    </row>
    <row r="3" spans="1:15">
      <c r="A3" s="23">
        <v>103001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24" t="s">
        <v>1057</v>
      </c>
      <c r="I3" s="24">
        <v>2</v>
      </c>
      <c r="J3" s="24">
        <v>0</v>
      </c>
      <c r="K3" s="24">
        <v>2</v>
      </c>
      <c r="L3" s="24"/>
      <c r="M3" s="24" t="b">
        <v>0</v>
      </c>
      <c r="N3" s="24" t="s">
        <v>477</v>
      </c>
      <c r="O3" s="15">
        <f>VLOOKUP(N3,Select!D:H,5,FALSE)</f>
        <v>0</v>
      </c>
    </row>
    <row r="4" spans="1:15">
      <c r="A4" s="23">
        <v>103002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24" t="s">
        <v>1058</v>
      </c>
      <c r="I4" s="24">
        <v>3</v>
      </c>
      <c r="J4" s="24">
        <v>2</v>
      </c>
      <c r="K4" s="24">
        <v>2</v>
      </c>
      <c r="L4" s="24"/>
      <c r="M4" s="24" t="b">
        <v>0</v>
      </c>
      <c r="N4" s="24" t="s">
        <v>477</v>
      </c>
      <c r="O4" s="15">
        <f>VLOOKUP(N4,Select!D:H,5,FALSE)</f>
        <v>0</v>
      </c>
    </row>
    <row r="5" spans="1:15">
      <c r="A5" s="23">
        <v>103003</v>
      </c>
      <c r="B5" s="1" t="s">
        <v>1</v>
      </c>
      <c r="C5" s="6">
        <f>VLOOKUP(B5,Select!A:H,8,FALSE)</f>
        <v>0</v>
      </c>
      <c r="D5" s="1" t="s">
        <v>10</v>
      </c>
      <c r="E5" s="6">
        <f>VLOOKUP(D5,Select!B:H,7,FALSE)</f>
        <v>0</v>
      </c>
      <c r="F5" s="1" t="s">
        <v>3</v>
      </c>
      <c r="G5" s="6">
        <f>VLOOKUP(F5,Select!C:H,6,FALSE)</f>
        <v>0</v>
      </c>
      <c r="H5" s="24" t="s">
        <v>1059</v>
      </c>
      <c r="I5" s="24">
        <v>3</v>
      </c>
      <c r="J5" s="24">
        <v>2</v>
      </c>
      <c r="K5" s="24">
        <v>2</v>
      </c>
      <c r="L5" s="24"/>
      <c r="M5" s="24" t="b">
        <v>0</v>
      </c>
      <c r="N5" s="24" t="s">
        <v>477</v>
      </c>
      <c r="O5" s="15">
        <f>VLOOKUP(N5,Select!D:H,5,FALSE)</f>
        <v>0</v>
      </c>
    </row>
    <row r="6" spans="1:15">
      <c r="A6" s="23">
        <v>103004</v>
      </c>
      <c r="B6" s="5" t="s">
        <v>1</v>
      </c>
      <c r="C6" s="6">
        <f>VLOOKUP(B6,Select!A:H,8,FALSE)</f>
        <v>0</v>
      </c>
      <c r="D6" s="5" t="s">
        <v>10</v>
      </c>
      <c r="E6" s="6">
        <f>VLOOKUP(D6,Select!B:H,7,FALSE)</f>
        <v>0</v>
      </c>
      <c r="F6" s="5" t="s">
        <v>34</v>
      </c>
      <c r="G6" s="6">
        <f>VLOOKUP(F6,Select!C:H,6,FALSE)</f>
        <v>2</v>
      </c>
      <c r="H6" s="24" t="s">
        <v>1060</v>
      </c>
      <c r="I6" s="24">
        <v>2</v>
      </c>
      <c r="J6" s="24"/>
      <c r="K6" s="24"/>
      <c r="L6" s="24"/>
      <c r="M6" s="24" t="b">
        <v>0</v>
      </c>
      <c r="N6" s="24" t="s">
        <v>477</v>
      </c>
      <c r="O6" s="15">
        <f>VLOOKUP(N6,Select!D:H,5,FALSE)</f>
        <v>0</v>
      </c>
    </row>
    <row r="7" spans="1:15">
      <c r="A7" s="23">
        <v>103005</v>
      </c>
      <c r="B7" s="1" t="s">
        <v>1</v>
      </c>
      <c r="C7" s="6">
        <f>VLOOKUP(B7,Select!A:H,8,FALSE)</f>
        <v>0</v>
      </c>
      <c r="D7" s="1" t="s">
        <v>36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24" t="s">
        <v>1061</v>
      </c>
      <c r="I7" s="24">
        <v>2</v>
      </c>
      <c r="J7" s="24">
        <v>2</v>
      </c>
      <c r="K7" s="24">
        <v>2</v>
      </c>
      <c r="L7" s="24"/>
      <c r="M7" s="24" t="b">
        <v>0</v>
      </c>
      <c r="N7" s="24" t="s">
        <v>477</v>
      </c>
      <c r="O7" s="15">
        <f>VLOOKUP(N7,Select!D:H,5,FALSE)</f>
        <v>0</v>
      </c>
    </row>
    <row r="8" spans="1:15">
      <c r="A8" s="23">
        <v>103006</v>
      </c>
      <c r="B8" s="5" t="s">
        <v>1</v>
      </c>
      <c r="C8" s="6">
        <f>VLOOKUP(B8,Select!A:H,8,FALSE)</f>
        <v>0</v>
      </c>
      <c r="D8" s="5" t="s">
        <v>36</v>
      </c>
      <c r="E8" s="6">
        <f>VLOOKUP(D8,Select!B:H,7,FALSE)</f>
        <v>1</v>
      </c>
      <c r="F8" s="5" t="s">
        <v>3</v>
      </c>
      <c r="G8" s="6">
        <f>VLOOKUP(F8,Select!C:H,6,FALSE)</f>
        <v>0</v>
      </c>
      <c r="H8" s="24" t="s">
        <v>1062</v>
      </c>
      <c r="I8" s="24">
        <v>3</v>
      </c>
      <c r="J8" s="24">
        <v>2</v>
      </c>
      <c r="K8" s="24">
        <v>2</v>
      </c>
      <c r="L8" s="24"/>
      <c r="M8" s="24" t="b">
        <v>0</v>
      </c>
      <c r="N8" s="24" t="s">
        <v>477</v>
      </c>
      <c r="O8" s="15">
        <f>VLOOKUP(N8,Select!D:H,5,FALSE)</f>
        <v>0</v>
      </c>
    </row>
    <row r="9" spans="1:15">
      <c r="A9" s="23">
        <v>103007</v>
      </c>
      <c r="B9" s="1" t="s">
        <v>1</v>
      </c>
      <c r="C9" s="6">
        <f>VLOOKUP(B9,Select!A:H,8,FALSE)</f>
        <v>0</v>
      </c>
      <c r="D9" s="1" t="s">
        <v>36</v>
      </c>
      <c r="E9" s="6">
        <f>VLOOKUP(D9,Select!B:H,7,FALSE)</f>
        <v>1</v>
      </c>
      <c r="F9" s="1" t="s">
        <v>3</v>
      </c>
      <c r="G9" s="6">
        <f>VLOOKUP(F9,Select!C:H,6,FALSE)</f>
        <v>0</v>
      </c>
      <c r="H9" s="24" t="s">
        <v>1063</v>
      </c>
      <c r="I9" s="24">
        <v>5</v>
      </c>
      <c r="J9" s="24">
        <v>4</v>
      </c>
      <c r="K9" s="24">
        <v>5</v>
      </c>
      <c r="L9" s="24"/>
      <c r="M9" s="24" t="b">
        <v>0</v>
      </c>
      <c r="N9" s="24" t="s">
        <v>477</v>
      </c>
      <c r="O9" s="15">
        <f>VLOOKUP(N9,Select!D:H,5,FALSE)</f>
        <v>0</v>
      </c>
    </row>
    <row r="10" spans="1:15">
      <c r="A10" s="23">
        <v>103008</v>
      </c>
      <c r="B10" s="5" t="s">
        <v>1</v>
      </c>
      <c r="C10" s="6">
        <f>VLOOKUP(B10,Select!A:H,8,FALSE)</f>
        <v>0</v>
      </c>
      <c r="D10" s="5" t="s">
        <v>36</v>
      </c>
      <c r="E10" s="6">
        <f>VLOOKUP(D10,Select!B:H,7,FALSE)</f>
        <v>1</v>
      </c>
      <c r="F10" s="5" t="s">
        <v>23</v>
      </c>
      <c r="G10" s="6">
        <f>VLOOKUP(F10,Select!C:H,6,FALSE)</f>
        <v>1</v>
      </c>
      <c r="H10" s="24" t="s">
        <v>1064</v>
      </c>
      <c r="I10" s="24">
        <v>5</v>
      </c>
      <c r="J10" s="24"/>
      <c r="K10" s="24"/>
      <c r="L10" s="24"/>
      <c r="M10" s="24" t="b">
        <v>0</v>
      </c>
      <c r="N10" s="24" t="s">
        <v>477</v>
      </c>
      <c r="O10" s="15">
        <f>VLOOKUP(N10,Select!D:H,5,FALSE)</f>
        <v>0</v>
      </c>
    </row>
    <row r="11" spans="1:15">
      <c r="A11" s="23">
        <v>103009</v>
      </c>
      <c r="B11" s="1" t="s">
        <v>1</v>
      </c>
      <c r="C11" s="6">
        <f>VLOOKUP(B11,Select!A:H,8,FALSE)</f>
        <v>0</v>
      </c>
      <c r="D11" s="1" t="s">
        <v>21</v>
      </c>
      <c r="E11" s="6">
        <f>VLOOKUP(D11,Select!B:H,7,FALSE)</f>
        <v>2</v>
      </c>
      <c r="F11" s="1" t="s">
        <v>3</v>
      </c>
      <c r="G11" s="6">
        <f>VLOOKUP(F11,Select!C:H,6,FALSE)</f>
        <v>0</v>
      </c>
      <c r="H11" s="24" t="s">
        <v>1066</v>
      </c>
      <c r="I11" s="24">
        <v>4</v>
      </c>
      <c r="J11" s="24">
        <v>3</v>
      </c>
      <c r="K11" s="24">
        <v>3</v>
      </c>
      <c r="L11" s="24"/>
      <c r="M11" s="24" t="b">
        <v>0</v>
      </c>
      <c r="N11" s="24" t="s">
        <v>477</v>
      </c>
      <c r="O11" s="15">
        <f>VLOOKUP(N11,Select!D:H,5,FALSE)</f>
        <v>0</v>
      </c>
    </row>
    <row r="12" spans="1:15">
      <c r="A12" s="23">
        <v>103010</v>
      </c>
      <c r="B12" s="5" t="s">
        <v>1</v>
      </c>
      <c r="C12" s="6">
        <f>VLOOKUP(B12,Select!A:H,8,FALSE)</f>
        <v>0</v>
      </c>
      <c r="D12" s="5" t="s">
        <v>21</v>
      </c>
      <c r="E12" s="6">
        <f>VLOOKUP(D12,Select!B:H,7,FALSE)</f>
        <v>2</v>
      </c>
      <c r="F12" s="5" t="s">
        <v>3</v>
      </c>
      <c r="G12" s="6">
        <f>VLOOKUP(F12,Select!C:H,6,FALSE)</f>
        <v>0</v>
      </c>
      <c r="H12" s="24" t="s">
        <v>1067</v>
      </c>
      <c r="I12" s="24">
        <v>4</v>
      </c>
      <c r="J12" s="24">
        <v>3</v>
      </c>
      <c r="K12" s="24">
        <v>4</v>
      </c>
      <c r="L12" s="24"/>
      <c r="M12" s="24" t="b">
        <v>0</v>
      </c>
      <c r="N12" s="24" t="s">
        <v>477</v>
      </c>
      <c r="O12" s="15">
        <f>VLOOKUP(N12,Select!D:H,5,FALSE)</f>
        <v>0</v>
      </c>
    </row>
    <row r="13" spans="1:15">
      <c r="A13" s="23">
        <v>103011</v>
      </c>
      <c r="B13" s="1" t="s">
        <v>1</v>
      </c>
      <c r="C13" s="6">
        <f>VLOOKUP(B13,Select!A:H,8,FALSE)</f>
        <v>0</v>
      </c>
      <c r="D13" s="1" t="s">
        <v>21</v>
      </c>
      <c r="E13" s="6">
        <f>VLOOKUP(D13,Select!B:H,7,FALSE)</f>
        <v>2</v>
      </c>
      <c r="F13" s="1" t="s">
        <v>3</v>
      </c>
      <c r="G13" s="6">
        <f>VLOOKUP(F13,Select!C:H,6,FALSE)</f>
        <v>0</v>
      </c>
      <c r="H13" s="24" t="s">
        <v>1068</v>
      </c>
      <c r="I13" s="24">
        <v>5</v>
      </c>
      <c r="J13" s="24">
        <v>3</v>
      </c>
      <c r="K13" s="24">
        <v>4</v>
      </c>
      <c r="L13" s="24"/>
      <c r="M13" s="24" t="b">
        <v>0</v>
      </c>
      <c r="N13" s="24" t="s">
        <v>477</v>
      </c>
      <c r="O13" s="15">
        <f>VLOOKUP(N13,Select!D:H,5,FALSE)</f>
        <v>0</v>
      </c>
    </row>
    <row r="14" spans="1:15">
      <c r="A14" s="23">
        <v>103012</v>
      </c>
      <c r="B14" s="5" t="s">
        <v>1</v>
      </c>
      <c r="C14" s="6">
        <f>VLOOKUP(B14,Select!A:H,8,FALSE)</f>
        <v>0</v>
      </c>
      <c r="D14" s="5" t="s">
        <v>30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24" t="s">
        <v>1069</v>
      </c>
      <c r="I14" s="24">
        <v>7</v>
      </c>
      <c r="J14" s="24">
        <v>4</v>
      </c>
      <c r="K14" s="24">
        <v>4</v>
      </c>
      <c r="L14" s="24"/>
      <c r="M14" s="24" t="b">
        <v>0</v>
      </c>
      <c r="N14" s="24" t="s">
        <v>477</v>
      </c>
      <c r="O14" s="15">
        <f>VLOOKUP(N14,Select!D:H,5,FALSE)</f>
        <v>0</v>
      </c>
    </row>
    <row r="15" spans="1:15">
      <c r="A15" s="23">
        <v>103013</v>
      </c>
      <c r="B15" s="1" t="s">
        <v>1</v>
      </c>
      <c r="C15" s="6">
        <f>VLOOKUP(B15,Select!A:H,8,FALSE)</f>
        <v>0</v>
      </c>
      <c r="D15" s="1" t="s">
        <v>30</v>
      </c>
      <c r="E15" s="6">
        <f>VLOOKUP(D15,Select!B:H,7,FALSE)</f>
        <v>3</v>
      </c>
      <c r="F15" s="1" t="s">
        <v>3</v>
      </c>
      <c r="G15" s="6">
        <f>VLOOKUP(F15,Select!C:H,6,FALSE)</f>
        <v>0</v>
      </c>
      <c r="H15" s="24" t="s">
        <v>1070</v>
      </c>
      <c r="I15" s="24">
        <v>10</v>
      </c>
      <c r="J15" s="24">
        <v>13</v>
      </c>
      <c r="K15" s="24">
        <v>13</v>
      </c>
      <c r="L15" s="24"/>
      <c r="M15" s="24" t="b">
        <v>0</v>
      </c>
      <c r="N15" s="24" t="s">
        <v>477</v>
      </c>
      <c r="O15" s="15">
        <f>VLOOKUP(N15,Select!D:H,5,FALSE)</f>
        <v>0</v>
      </c>
    </row>
    <row r="16" spans="1:15">
      <c r="A16" s="23">
        <v>103014</v>
      </c>
      <c r="B16" s="5" t="s">
        <v>1</v>
      </c>
      <c r="C16" s="6">
        <f>VLOOKUP(B16,Select!A:H,8,FALSE)</f>
        <v>0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24" t="s">
        <v>1065</v>
      </c>
      <c r="I16" s="24">
        <v>2</v>
      </c>
      <c r="J16" s="24">
        <v>2</v>
      </c>
      <c r="K16" s="24">
        <v>2</v>
      </c>
      <c r="L16" s="24"/>
      <c r="M16" s="24" t="b">
        <v>1</v>
      </c>
      <c r="N16" s="24" t="s">
        <v>477</v>
      </c>
      <c r="O16" s="15">
        <f>VLOOKUP(N16,Select!D:H,5,FALSE)</f>
        <v>0</v>
      </c>
    </row>
    <row r="17" spans="1:15">
      <c r="A17" s="23">
        <v>103100</v>
      </c>
      <c r="B17" s="1" t="s">
        <v>24</v>
      </c>
      <c r="C17" s="6">
        <f>VLOOKUP(B17,Select!A:H,8,FALSE)</f>
        <v>1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24" t="s">
        <v>1071</v>
      </c>
      <c r="I17" s="24">
        <v>1</v>
      </c>
      <c r="J17" s="24">
        <v>1</v>
      </c>
      <c r="K17" s="24">
        <v>1</v>
      </c>
      <c r="L17" s="24"/>
      <c r="M17" s="24" t="b">
        <v>0</v>
      </c>
      <c r="N17" s="24" t="s">
        <v>477</v>
      </c>
      <c r="O17" s="15">
        <f>VLOOKUP(N17,Select!D:H,5,FALSE)</f>
        <v>0</v>
      </c>
    </row>
    <row r="18" spans="1:15">
      <c r="A18" s="23">
        <v>103101</v>
      </c>
      <c r="B18" s="5" t="s">
        <v>24</v>
      </c>
      <c r="C18" s="6">
        <f>VLOOKUP(B18,Select!A:H,8,FALSE)</f>
        <v>1</v>
      </c>
      <c r="D18" s="5" t="s">
        <v>10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24" t="s">
        <v>1072</v>
      </c>
      <c r="I18" s="24">
        <v>3</v>
      </c>
      <c r="J18" s="24">
        <v>3</v>
      </c>
      <c r="K18" s="24">
        <v>2</v>
      </c>
      <c r="L18" s="24"/>
      <c r="M18" s="24" t="b">
        <v>0</v>
      </c>
      <c r="N18" s="24" t="s">
        <v>477</v>
      </c>
      <c r="O18" s="15">
        <f>VLOOKUP(N18,Select!D:H,5,FALSE)</f>
        <v>0</v>
      </c>
    </row>
    <row r="19" spans="1:15">
      <c r="A19" s="23">
        <v>103102</v>
      </c>
      <c r="B19" s="1" t="s">
        <v>24</v>
      </c>
      <c r="C19" s="6">
        <f>VLOOKUP(B19,Select!A:H,8,FALSE)</f>
        <v>1</v>
      </c>
      <c r="D19" s="1" t="s">
        <v>10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24" t="s">
        <v>1073</v>
      </c>
      <c r="I19" s="24">
        <v>4</v>
      </c>
      <c r="J19" s="24">
        <v>3</v>
      </c>
      <c r="K19" s="24">
        <v>2</v>
      </c>
      <c r="L19" s="24"/>
      <c r="M19" s="24" t="b">
        <v>0</v>
      </c>
      <c r="N19" s="24" t="s">
        <v>477</v>
      </c>
      <c r="O19" s="15">
        <f>VLOOKUP(N19,Select!D:H,5,FALSE)</f>
        <v>0</v>
      </c>
    </row>
    <row r="20" spans="1:15">
      <c r="A20" s="23">
        <v>103103</v>
      </c>
      <c r="B20" s="5" t="s">
        <v>24</v>
      </c>
      <c r="C20" s="6">
        <f>VLOOKUP(B20,Select!A:H,8,FALSE)</f>
        <v>1</v>
      </c>
      <c r="D20" s="5" t="s">
        <v>10</v>
      </c>
      <c r="E20" s="6">
        <f>VLOOKUP(D20,Select!B:H,7,FALSE)</f>
        <v>0</v>
      </c>
      <c r="F20" s="5" t="s">
        <v>3</v>
      </c>
      <c r="G20" s="6">
        <f>VLOOKUP(F20,Select!C:H,6,FALSE)</f>
        <v>0</v>
      </c>
      <c r="H20" s="24" t="s">
        <v>1074</v>
      </c>
      <c r="I20" s="24">
        <v>7</v>
      </c>
      <c r="J20" s="24">
        <v>1</v>
      </c>
      <c r="K20" s="24">
        <v>7</v>
      </c>
      <c r="L20" s="24"/>
      <c r="M20" s="24" t="b">
        <v>0</v>
      </c>
      <c r="N20" s="24" t="s">
        <v>477</v>
      </c>
      <c r="O20" s="15">
        <f>VLOOKUP(N20,Select!D:H,5,FALSE)</f>
        <v>0</v>
      </c>
    </row>
    <row r="21" spans="1:15">
      <c r="A21" s="23">
        <v>103104</v>
      </c>
      <c r="B21" s="1" t="s">
        <v>24</v>
      </c>
      <c r="C21" s="6">
        <f>VLOOKUP(B21,Select!A:H,8,FALSE)</f>
        <v>1</v>
      </c>
      <c r="D21" s="1" t="s">
        <v>10</v>
      </c>
      <c r="E21" s="6">
        <f>VLOOKUP(D21,Select!B:H,7,FALSE)</f>
        <v>0</v>
      </c>
      <c r="F21" s="1" t="s">
        <v>23</v>
      </c>
      <c r="G21" s="6">
        <f>VLOOKUP(F21,Select!C:H,6,FALSE)</f>
        <v>1</v>
      </c>
      <c r="H21" s="24" t="s">
        <v>1075</v>
      </c>
      <c r="I21" s="24">
        <v>1</v>
      </c>
      <c r="J21" s="24"/>
      <c r="K21" s="24"/>
      <c r="L21" s="24"/>
      <c r="M21" s="24" t="b">
        <v>0</v>
      </c>
      <c r="N21" s="24" t="s">
        <v>477</v>
      </c>
      <c r="O21" s="15">
        <f>VLOOKUP(N21,Select!D:H,5,FALSE)</f>
        <v>0</v>
      </c>
    </row>
    <row r="22" spans="1:15">
      <c r="A22" s="23">
        <v>103105</v>
      </c>
      <c r="B22" s="5" t="s">
        <v>24</v>
      </c>
      <c r="C22" s="6">
        <f>VLOOKUP(B22,Select!A:H,8,FALSE)</f>
        <v>1</v>
      </c>
      <c r="D22" s="5" t="s">
        <v>36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24" t="s">
        <v>1076</v>
      </c>
      <c r="I22" s="24">
        <v>2</v>
      </c>
      <c r="J22" s="24">
        <v>2</v>
      </c>
      <c r="K22" s="24">
        <v>2</v>
      </c>
      <c r="L22" s="24"/>
      <c r="M22" s="24" t="b">
        <v>0</v>
      </c>
      <c r="N22" s="24" t="s">
        <v>477</v>
      </c>
      <c r="O22" s="15">
        <f>VLOOKUP(N22,Select!D:H,5,FALSE)</f>
        <v>0</v>
      </c>
    </row>
    <row r="23" spans="1:15">
      <c r="A23" s="23">
        <v>103106</v>
      </c>
      <c r="B23" s="1" t="s">
        <v>24</v>
      </c>
      <c r="C23" s="6">
        <f>VLOOKUP(B23,Select!A:H,8,FALSE)</f>
        <v>1</v>
      </c>
      <c r="D23" s="1" t="s">
        <v>36</v>
      </c>
      <c r="E23" s="6">
        <f>VLOOKUP(D23,Select!B:H,7,FALSE)</f>
        <v>1</v>
      </c>
      <c r="F23" s="1" t="s">
        <v>3</v>
      </c>
      <c r="G23" s="6">
        <f>VLOOKUP(F23,Select!C:H,6,FALSE)</f>
        <v>0</v>
      </c>
      <c r="H23" s="24" t="s">
        <v>1077</v>
      </c>
      <c r="I23" s="24">
        <v>5</v>
      </c>
      <c r="J23" s="24">
        <v>3</v>
      </c>
      <c r="K23" s="24">
        <v>3</v>
      </c>
      <c r="L23" s="24"/>
      <c r="M23" s="24" t="b">
        <v>0</v>
      </c>
      <c r="N23" s="24" t="s">
        <v>477</v>
      </c>
      <c r="O23" s="15">
        <f>VLOOKUP(N23,Select!D:H,5,FALSE)</f>
        <v>0</v>
      </c>
    </row>
    <row r="24" spans="1:15">
      <c r="A24" s="23">
        <v>103107</v>
      </c>
      <c r="B24" s="5" t="s">
        <v>24</v>
      </c>
      <c r="C24" s="6">
        <f>VLOOKUP(B24,Select!A:H,8,FALSE)</f>
        <v>1</v>
      </c>
      <c r="D24" s="5" t="s">
        <v>36</v>
      </c>
      <c r="E24" s="6">
        <f>VLOOKUP(D24,Select!B:H,7,FALSE)</f>
        <v>1</v>
      </c>
      <c r="F24" s="5" t="s">
        <v>3</v>
      </c>
      <c r="G24" s="6">
        <f>VLOOKUP(F24,Select!C:H,6,FALSE)</f>
        <v>0</v>
      </c>
      <c r="H24" s="24" t="s">
        <v>1078</v>
      </c>
      <c r="I24" s="24">
        <v>5</v>
      </c>
      <c r="J24" s="24">
        <v>2</v>
      </c>
      <c r="K24" s="24">
        <v>2</v>
      </c>
      <c r="L24" s="24"/>
      <c r="M24" s="24" t="b">
        <v>0</v>
      </c>
      <c r="N24" s="24" t="s">
        <v>477</v>
      </c>
      <c r="O24" s="15">
        <f>VLOOKUP(N24,Select!D:H,5,FALSE)</f>
        <v>0</v>
      </c>
    </row>
    <row r="25" spans="1:15">
      <c r="A25" s="23">
        <v>103108</v>
      </c>
      <c r="B25" s="1" t="s">
        <v>24</v>
      </c>
      <c r="C25" s="6">
        <f>VLOOKUP(B25,Select!A:H,8,FALSE)</f>
        <v>1</v>
      </c>
      <c r="D25" s="1" t="s">
        <v>36</v>
      </c>
      <c r="E25" s="6">
        <f>VLOOKUP(D25,Select!B:H,7,FALSE)</f>
        <v>1</v>
      </c>
      <c r="F25" s="1" t="s">
        <v>23</v>
      </c>
      <c r="G25" s="6">
        <f>VLOOKUP(F25,Select!C:H,6,FALSE)</f>
        <v>1</v>
      </c>
      <c r="H25" s="24" t="s">
        <v>1079</v>
      </c>
      <c r="I25" s="24">
        <v>3</v>
      </c>
      <c r="J25" s="24"/>
      <c r="K25" s="24"/>
      <c r="L25" s="24"/>
      <c r="M25" s="24" t="b">
        <v>0</v>
      </c>
      <c r="N25" s="24" t="s">
        <v>477</v>
      </c>
      <c r="O25" s="15">
        <f>VLOOKUP(N25,Select!D:H,5,FALSE)</f>
        <v>0</v>
      </c>
    </row>
    <row r="26" spans="1:15">
      <c r="A26" s="23">
        <v>103109</v>
      </c>
      <c r="B26" s="5" t="s">
        <v>24</v>
      </c>
      <c r="C26" s="6">
        <f>VLOOKUP(B26,Select!A:H,8,FALSE)</f>
        <v>1</v>
      </c>
      <c r="D26" s="5" t="s">
        <v>21</v>
      </c>
      <c r="E26" s="6">
        <f>VLOOKUP(D26,Select!B:H,7,FALSE)</f>
        <v>2</v>
      </c>
      <c r="F26" s="5" t="s">
        <v>3</v>
      </c>
      <c r="G26" s="6">
        <f>VLOOKUP(F26,Select!C:H,6,FALSE)</f>
        <v>0</v>
      </c>
      <c r="H26" s="24" t="s">
        <v>1081</v>
      </c>
      <c r="I26" s="24">
        <v>5</v>
      </c>
      <c r="J26" s="24">
        <v>3</v>
      </c>
      <c r="K26" s="24">
        <v>4</v>
      </c>
      <c r="L26" s="24"/>
      <c r="M26" s="24" t="b">
        <v>0</v>
      </c>
      <c r="N26" s="24" t="s">
        <v>477</v>
      </c>
      <c r="O26" s="15">
        <f>VLOOKUP(N26,Select!D:H,5,FALSE)</f>
        <v>0</v>
      </c>
    </row>
    <row r="27" spans="1:15">
      <c r="A27" s="23">
        <v>103110</v>
      </c>
      <c r="B27" s="1" t="s">
        <v>24</v>
      </c>
      <c r="C27" s="6">
        <f>VLOOKUP(B27,Select!A:H,8,FALSE)</f>
        <v>1</v>
      </c>
      <c r="D27" s="1" t="s">
        <v>21</v>
      </c>
      <c r="E27" s="6">
        <f>VLOOKUP(D27,Select!B:H,7,FALSE)</f>
        <v>2</v>
      </c>
      <c r="F27" s="1" t="s">
        <v>3</v>
      </c>
      <c r="G27" s="6">
        <f>VLOOKUP(F27,Select!C:H,6,FALSE)</f>
        <v>0</v>
      </c>
      <c r="H27" s="24" t="s">
        <v>1082</v>
      </c>
      <c r="I27" s="24">
        <v>6</v>
      </c>
      <c r="J27" s="24">
        <v>5</v>
      </c>
      <c r="K27" s="24">
        <v>5</v>
      </c>
      <c r="L27" s="24"/>
      <c r="M27" s="24" t="b">
        <v>0</v>
      </c>
      <c r="N27" s="24" t="s">
        <v>477</v>
      </c>
      <c r="O27" s="15">
        <f>VLOOKUP(N27,Select!D:H,5,FALSE)</f>
        <v>0</v>
      </c>
    </row>
    <row r="28" spans="1:15">
      <c r="A28" s="23">
        <v>103111</v>
      </c>
      <c r="B28" s="5" t="s">
        <v>24</v>
      </c>
      <c r="C28" s="6">
        <f>VLOOKUP(B28,Select!A:H,8,FALSE)</f>
        <v>1</v>
      </c>
      <c r="D28" s="5" t="s">
        <v>21</v>
      </c>
      <c r="E28" s="6">
        <f>VLOOKUP(D28,Select!B:H,7,FALSE)</f>
        <v>2</v>
      </c>
      <c r="F28" s="5" t="s">
        <v>23</v>
      </c>
      <c r="G28" s="6">
        <f>VLOOKUP(F28,Select!C:H,6,FALSE)</f>
        <v>1</v>
      </c>
      <c r="H28" s="24" t="s">
        <v>1080</v>
      </c>
      <c r="I28" s="24">
        <v>3</v>
      </c>
      <c r="J28" s="24"/>
      <c r="K28" s="24"/>
      <c r="L28" s="24"/>
      <c r="M28" s="24" t="b">
        <v>0</v>
      </c>
      <c r="N28" s="24" t="s">
        <v>477</v>
      </c>
      <c r="O28" s="15">
        <f>VLOOKUP(N28,Select!D:H,5,FALSE)</f>
        <v>0</v>
      </c>
    </row>
    <row r="29" spans="1:15">
      <c r="A29" s="23">
        <v>103112</v>
      </c>
      <c r="B29" s="1" t="s">
        <v>24</v>
      </c>
      <c r="C29" s="6">
        <f>VLOOKUP(B29,Select!A:H,8,FALSE)</f>
        <v>1</v>
      </c>
      <c r="D29" s="1" t="s">
        <v>30</v>
      </c>
      <c r="E29" s="6">
        <f>VLOOKUP(D29,Select!B:H,7,FALSE)</f>
        <v>3</v>
      </c>
      <c r="F29" s="1" t="s">
        <v>3</v>
      </c>
      <c r="G29" s="6">
        <f>VLOOKUP(F29,Select!C:H,6,FALSE)</f>
        <v>0</v>
      </c>
      <c r="H29" s="24" t="s">
        <v>1083</v>
      </c>
      <c r="I29" s="24">
        <v>8</v>
      </c>
      <c r="J29" s="24">
        <v>4</v>
      </c>
      <c r="K29" s="24">
        <v>4</v>
      </c>
      <c r="L29" s="24"/>
      <c r="M29" s="24" t="b">
        <v>0</v>
      </c>
      <c r="N29" s="24" t="s">
        <v>477</v>
      </c>
      <c r="O29" s="15">
        <f>VLOOKUP(N29,Select!D:H,5,FALSE)</f>
        <v>0</v>
      </c>
    </row>
    <row r="30" spans="1:15">
      <c r="A30" s="23">
        <v>103113</v>
      </c>
      <c r="B30" s="5" t="s">
        <v>24</v>
      </c>
      <c r="C30" s="6">
        <f>VLOOKUP(B30,Select!A:H,8,FALSE)</f>
        <v>1</v>
      </c>
      <c r="D30" s="5" t="s">
        <v>21</v>
      </c>
      <c r="E30" s="6">
        <f>VLOOKUP(D30,Select!B:H,7,FALSE)</f>
        <v>2</v>
      </c>
      <c r="F30" s="5" t="s">
        <v>3</v>
      </c>
      <c r="G30" s="6">
        <f>VLOOKUP(F30,Select!C:H,6,FALSE)</f>
        <v>0</v>
      </c>
      <c r="H30" s="24" t="s">
        <v>1084</v>
      </c>
      <c r="I30" s="24">
        <v>3</v>
      </c>
      <c r="J30" s="24">
        <v>2</v>
      </c>
      <c r="K30" s="24">
        <v>1</v>
      </c>
      <c r="L30" s="24"/>
      <c r="M30" s="24" t="b">
        <v>1</v>
      </c>
      <c r="N30" s="24" t="s">
        <v>477</v>
      </c>
      <c r="O30" s="15">
        <f>VLOOKUP(N30,Select!D:H,5,FALSE)</f>
        <v>0</v>
      </c>
    </row>
    <row r="31" spans="1:15">
      <c r="A31" s="23">
        <v>103200</v>
      </c>
      <c r="B31" s="1" t="s">
        <v>25</v>
      </c>
      <c r="C31" s="6">
        <f>VLOOKUP(B31,Select!A:H,8,FALSE)</f>
        <v>2</v>
      </c>
      <c r="D31" s="1" t="s">
        <v>10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24" t="s">
        <v>1085</v>
      </c>
      <c r="I31" s="24">
        <v>2</v>
      </c>
      <c r="J31" s="24">
        <v>2</v>
      </c>
      <c r="K31" s="24">
        <v>2</v>
      </c>
      <c r="L31" s="24"/>
      <c r="M31" s="24" t="b">
        <v>0</v>
      </c>
      <c r="N31" s="24" t="s">
        <v>477</v>
      </c>
      <c r="O31" s="15">
        <f>VLOOKUP(N31,Select!D:H,5,FALSE)</f>
        <v>0</v>
      </c>
    </row>
    <row r="32" spans="1:15">
      <c r="A32" s="23">
        <v>103201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24" t="s">
        <v>1086</v>
      </c>
      <c r="I32" s="24">
        <v>3</v>
      </c>
      <c r="J32" s="24">
        <v>3</v>
      </c>
      <c r="K32" s="24">
        <v>2</v>
      </c>
      <c r="L32" s="24"/>
      <c r="M32" s="24" t="b">
        <v>0</v>
      </c>
      <c r="N32" s="24" t="s">
        <v>477</v>
      </c>
      <c r="O32" s="15">
        <f>VLOOKUP(N32,Select!D:H,5,FALSE)</f>
        <v>0</v>
      </c>
    </row>
    <row r="33" spans="1:15">
      <c r="A33" s="23">
        <v>103202</v>
      </c>
      <c r="B33" s="1" t="s">
        <v>25</v>
      </c>
      <c r="C33" s="6">
        <f>VLOOKUP(B33,Select!A:H,8,FALSE)</f>
        <v>2</v>
      </c>
      <c r="D33" s="1" t="s">
        <v>10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24" t="s">
        <v>1087</v>
      </c>
      <c r="I33" s="24">
        <v>3</v>
      </c>
      <c r="J33" s="24">
        <v>2</v>
      </c>
      <c r="K33" s="24">
        <v>2</v>
      </c>
      <c r="L33" s="24"/>
      <c r="M33" s="24" t="b">
        <v>0</v>
      </c>
      <c r="N33" s="24" t="s">
        <v>477</v>
      </c>
      <c r="O33" s="15">
        <f>VLOOKUP(N33,Select!D:H,5,FALSE)</f>
        <v>0</v>
      </c>
    </row>
    <row r="34" spans="1:15">
      <c r="A34" s="23">
        <v>103203</v>
      </c>
      <c r="B34" s="5" t="s">
        <v>25</v>
      </c>
      <c r="C34" s="6">
        <f>VLOOKUP(B34,Select!A:H,8,FALSE)</f>
        <v>2</v>
      </c>
      <c r="D34" s="5" t="s">
        <v>10</v>
      </c>
      <c r="E34" s="6">
        <f>VLOOKUP(D34,Select!B:H,7,FALSE)</f>
        <v>0</v>
      </c>
      <c r="F34" s="5" t="s">
        <v>3</v>
      </c>
      <c r="G34" s="6">
        <f>VLOOKUP(F34,Select!C:H,6,FALSE)</f>
        <v>0</v>
      </c>
      <c r="H34" s="24" t="s">
        <v>1088</v>
      </c>
      <c r="I34" s="24">
        <v>6</v>
      </c>
      <c r="J34" s="24">
        <v>5</v>
      </c>
      <c r="K34" s="24">
        <v>6</v>
      </c>
      <c r="L34" s="24"/>
      <c r="M34" s="24" t="b">
        <v>0</v>
      </c>
      <c r="N34" s="24" t="s">
        <v>477</v>
      </c>
      <c r="O34" s="15">
        <f>VLOOKUP(N34,Select!D:H,5,FALSE)</f>
        <v>0</v>
      </c>
    </row>
    <row r="35" spans="1:15">
      <c r="A35" s="23">
        <v>103204</v>
      </c>
      <c r="B35" s="1" t="s">
        <v>25</v>
      </c>
      <c r="C35" s="6">
        <f>VLOOKUP(B35,Select!A:H,8,FALSE)</f>
        <v>2</v>
      </c>
      <c r="D35" s="1" t="s">
        <v>10</v>
      </c>
      <c r="E35" s="6">
        <f>VLOOKUP(D35,Select!B:H,7,FALSE)</f>
        <v>0</v>
      </c>
      <c r="F35" s="1" t="s">
        <v>23</v>
      </c>
      <c r="G35" s="6">
        <f>VLOOKUP(F35,Select!C:H,6,FALSE)</f>
        <v>1</v>
      </c>
      <c r="H35" s="24" t="s">
        <v>1089</v>
      </c>
      <c r="I35" s="24">
        <v>3</v>
      </c>
      <c r="J35" s="24"/>
      <c r="K35" s="24"/>
      <c r="L35" s="24"/>
      <c r="M35" s="24" t="b">
        <v>0</v>
      </c>
      <c r="N35" s="24" t="s">
        <v>477</v>
      </c>
      <c r="O35" s="15">
        <f>VLOOKUP(N35,Select!D:H,5,FALSE)</f>
        <v>0</v>
      </c>
    </row>
    <row r="36" spans="1:15">
      <c r="A36" s="23">
        <v>103205</v>
      </c>
      <c r="B36" s="5" t="s">
        <v>25</v>
      </c>
      <c r="C36" s="6">
        <f>VLOOKUP(B36,Select!A:H,8,FALSE)</f>
        <v>2</v>
      </c>
      <c r="D36" s="5" t="s">
        <v>36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24" t="s">
        <v>1090</v>
      </c>
      <c r="I36" s="24">
        <v>2</v>
      </c>
      <c r="J36" s="24">
        <v>2</v>
      </c>
      <c r="K36" s="24">
        <v>2</v>
      </c>
      <c r="L36" s="24"/>
      <c r="M36" s="24" t="b">
        <v>0</v>
      </c>
      <c r="N36" s="24" t="s">
        <v>477</v>
      </c>
      <c r="O36" s="15">
        <f>VLOOKUP(N36,Select!D:H,5,FALSE)</f>
        <v>0</v>
      </c>
    </row>
    <row r="37" spans="1:15">
      <c r="A37" s="23">
        <v>103206</v>
      </c>
      <c r="B37" s="1" t="s">
        <v>25</v>
      </c>
      <c r="C37" s="6">
        <f>VLOOKUP(B37,Select!A:H,8,FALSE)</f>
        <v>2</v>
      </c>
      <c r="D37" s="1" t="s">
        <v>36</v>
      </c>
      <c r="E37" s="6">
        <f>VLOOKUP(D37,Select!B:H,7,FALSE)</f>
        <v>1</v>
      </c>
      <c r="F37" s="1" t="s">
        <v>3</v>
      </c>
      <c r="G37" s="6">
        <f>VLOOKUP(F37,Select!C:H,6,FALSE)</f>
        <v>0</v>
      </c>
      <c r="H37" s="24" t="s">
        <v>1091</v>
      </c>
      <c r="I37" s="24">
        <v>4</v>
      </c>
      <c r="J37" s="24">
        <v>4</v>
      </c>
      <c r="K37" s="24">
        <v>3</v>
      </c>
      <c r="L37" s="24"/>
      <c r="M37" s="24" t="b">
        <v>0</v>
      </c>
      <c r="N37" s="24" t="s">
        <v>477</v>
      </c>
      <c r="O37" s="15">
        <f>VLOOKUP(N37,Select!D:H,5,FALSE)</f>
        <v>0</v>
      </c>
    </row>
    <row r="38" spans="1:15">
      <c r="A38" s="23">
        <v>103207</v>
      </c>
      <c r="B38" s="5" t="s">
        <v>25</v>
      </c>
      <c r="C38" s="6">
        <f>VLOOKUP(B38,Select!A:H,8,FALSE)</f>
        <v>2</v>
      </c>
      <c r="D38" s="5" t="s">
        <v>36</v>
      </c>
      <c r="E38" s="6">
        <f>VLOOKUP(D38,Select!B:H,7,FALSE)</f>
        <v>1</v>
      </c>
      <c r="F38" s="5" t="s">
        <v>3</v>
      </c>
      <c r="G38" s="6">
        <f>VLOOKUP(F38,Select!C:H,6,FALSE)</f>
        <v>0</v>
      </c>
      <c r="H38" s="24" t="s">
        <v>1092</v>
      </c>
      <c r="I38" s="24">
        <v>5</v>
      </c>
      <c r="J38" s="24">
        <v>4</v>
      </c>
      <c r="K38" s="24">
        <v>4</v>
      </c>
      <c r="L38" s="24"/>
      <c r="M38" s="24" t="b">
        <v>0</v>
      </c>
      <c r="N38" s="24" t="s">
        <v>477</v>
      </c>
      <c r="O38" s="15">
        <f>VLOOKUP(N38,Select!D:H,5,FALSE)</f>
        <v>0</v>
      </c>
    </row>
    <row r="39" spans="1:15">
      <c r="A39" s="23">
        <v>103208</v>
      </c>
      <c r="B39" s="1" t="s">
        <v>25</v>
      </c>
      <c r="C39" s="6">
        <f>VLOOKUP(B39,Select!A:H,8,FALSE)</f>
        <v>2</v>
      </c>
      <c r="D39" s="1" t="s">
        <v>36</v>
      </c>
      <c r="E39" s="6">
        <f>VLOOKUP(D39,Select!B:H,7,FALSE)</f>
        <v>1</v>
      </c>
      <c r="F39" s="1" t="s">
        <v>23</v>
      </c>
      <c r="G39" s="6">
        <f>VLOOKUP(F39,Select!C:H,6,FALSE)</f>
        <v>1</v>
      </c>
      <c r="H39" s="24" t="s">
        <v>1093</v>
      </c>
      <c r="I39" s="24">
        <v>5</v>
      </c>
      <c r="J39" s="24"/>
      <c r="K39" s="24"/>
      <c r="L39" s="24"/>
      <c r="M39" s="24" t="b">
        <v>0</v>
      </c>
      <c r="N39" s="24" t="s">
        <v>477</v>
      </c>
      <c r="O39" s="15">
        <f>VLOOKUP(N39,Select!D:H,5,FALSE)</f>
        <v>0</v>
      </c>
    </row>
    <row r="40" spans="1:15">
      <c r="A40" s="23">
        <v>103209</v>
      </c>
      <c r="B40" s="5" t="s">
        <v>25</v>
      </c>
      <c r="C40" s="6">
        <f>VLOOKUP(B40,Select!A:H,8,FALSE)</f>
        <v>2</v>
      </c>
      <c r="D40" s="5" t="s">
        <v>21</v>
      </c>
      <c r="E40" s="6">
        <f>VLOOKUP(D40,Select!B:H,7,FALSE)</f>
        <v>2</v>
      </c>
      <c r="F40" s="5" t="s">
        <v>3</v>
      </c>
      <c r="G40" s="6">
        <f>VLOOKUP(F40,Select!C:H,6,FALSE)</f>
        <v>0</v>
      </c>
      <c r="H40" s="24" t="s">
        <v>1094</v>
      </c>
      <c r="I40" s="24">
        <v>4</v>
      </c>
      <c r="J40" s="24">
        <v>3</v>
      </c>
      <c r="K40" s="24">
        <v>4</v>
      </c>
      <c r="L40" s="24"/>
      <c r="M40" s="24" t="b">
        <v>0</v>
      </c>
      <c r="N40" s="24" t="s">
        <v>477</v>
      </c>
      <c r="O40" s="15">
        <f>VLOOKUP(N40,Select!D:H,5,FALSE)</f>
        <v>0</v>
      </c>
    </row>
    <row r="41" spans="1:15">
      <c r="A41" s="23">
        <v>103210</v>
      </c>
      <c r="B41" s="1" t="s">
        <v>25</v>
      </c>
      <c r="C41" s="6">
        <f>VLOOKUP(B41,Select!A:H,8,FALSE)</f>
        <v>2</v>
      </c>
      <c r="D41" s="1" t="s">
        <v>21</v>
      </c>
      <c r="E41" s="6">
        <f>VLOOKUP(D41,Select!B:H,7,FALSE)</f>
        <v>2</v>
      </c>
      <c r="F41" s="1" t="s">
        <v>3</v>
      </c>
      <c r="G41" s="6">
        <f>VLOOKUP(F41,Select!C:H,6,FALSE)</f>
        <v>0</v>
      </c>
      <c r="H41" s="24" t="s">
        <v>1095</v>
      </c>
      <c r="I41" s="24">
        <v>8</v>
      </c>
      <c r="J41" s="24">
        <v>3</v>
      </c>
      <c r="K41" s="24">
        <v>8</v>
      </c>
      <c r="L41" s="24"/>
      <c r="M41" s="24" t="b">
        <v>0</v>
      </c>
      <c r="N41" s="24" t="s">
        <v>477</v>
      </c>
      <c r="O41" s="15">
        <f>VLOOKUP(N41,Select!D:H,5,FALSE)</f>
        <v>0</v>
      </c>
    </row>
    <row r="42" spans="1:15">
      <c r="A42" s="23">
        <v>103211</v>
      </c>
      <c r="B42" s="5" t="s">
        <v>25</v>
      </c>
      <c r="C42" s="6">
        <f>VLOOKUP(B42,Select!A:H,8,FALSE)</f>
        <v>2</v>
      </c>
      <c r="D42" s="5" t="s">
        <v>21</v>
      </c>
      <c r="E42" s="6">
        <f>VLOOKUP(D42,Select!B:H,7,FALSE)</f>
        <v>2</v>
      </c>
      <c r="F42" s="5" t="s">
        <v>34</v>
      </c>
      <c r="G42" s="6">
        <f>VLOOKUP(F42,Select!C:H,6,FALSE)</f>
        <v>2</v>
      </c>
      <c r="H42" s="24" t="s">
        <v>1096</v>
      </c>
      <c r="I42" s="24">
        <v>3</v>
      </c>
      <c r="J42" s="24"/>
      <c r="K42" s="24"/>
      <c r="L42" s="24"/>
      <c r="M42" s="24" t="b">
        <v>0</v>
      </c>
      <c r="N42" s="24" t="s">
        <v>477</v>
      </c>
      <c r="O42" s="15">
        <f>VLOOKUP(N42,Select!D:H,5,FALSE)</f>
        <v>0</v>
      </c>
    </row>
    <row r="43" spans="1:15">
      <c r="A43" s="23">
        <v>103212</v>
      </c>
      <c r="B43" s="1" t="s">
        <v>25</v>
      </c>
      <c r="C43" s="6">
        <f>VLOOKUP(B43,Select!A:H,8,FALSE)</f>
        <v>2</v>
      </c>
      <c r="D43" s="1" t="s">
        <v>30</v>
      </c>
      <c r="E43" s="6">
        <f>VLOOKUP(D43,Select!B:H,7,FALSE)</f>
        <v>3</v>
      </c>
      <c r="F43" s="1" t="s">
        <v>3</v>
      </c>
      <c r="G43" s="6">
        <f>VLOOKUP(F43,Select!C:H,6,FALSE)</f>
        <v>0</v>
      </c>
      <c r="H43" s="24" t="s">
        <v>1097</v>
      </c>
      <c r="I43" s="24">
        <v>5</v>
      </c>
      <c r="J43" s="24">
        <v>3</v>
      </c>
      <c r="K43" s="24">
        <v>5</v>
      </c>
      <c r="L43" s="24"/>
      <c r="M43" s="24" t="b">
        <v>0</v>
      </c>
      <c r="N43" s="24" t="s">
        <v>477</v>
      </c>
      <c r="O43" s="15">
        <f>VLOOKUP(N43,Select!D:H,5,FALSE)</f>
        <v>0</v>
      </c>
    </row>
    <row r="44" spans="1:15">
      <c r="A44" s="23">
        <v>103300</v>
      </c>
      <c r="B44" s="5" t="s">
        <v>22</v>
      </c>
      <c r="C44" s="6">
        <f>VLOOKUP(B44,Select!A:H,8,FALSE)</f>
        <v>3</v>
      </c>
      <c r="D44" s="5" t="s">
        <v>10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24" t="s">
        <v>1098</v>
      </c>
      <c r="I44" s="24">
        <v>2</v>
      </c>
      <c r="J44" s="24">
        <v>2</v>
      </c>
      <c r="K44" s="24">
        <v>2</v>
      </c>
      <c r="L44" s="24"/>
      <c r="M44" s="24" t="b">
        <v>0</v>
      </c>
      <c r="N44" s="24" t="s">
        <v>477</v>
      </c>
      <c r="O44" s="15">
        <f>VLOOKUP(N44,Select!D:H,5,FALSE)</f>
        <v>0</v>
      </c>
    </row>
    <row r="45" spans="1:15">
      <c r="A45" s="23">
        <v>103301</v>
      </c>
      <c r="B45" s="1" t="s">
        <v>22</v>
      </c>
      <c r="C45" s="6">
        <f>VLOOKUP(B45,Select!A:H,8,FALSE)</f>
        <v>3</v>
      </c>
      <c r="D45" s="1" t="s">
        <v>10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24" t="s">
        <v>1099</v>
      </c>
      <c r="I45" s="24">
        <v>4</v>
      </c>
      <c r="J45" s="24">
        <v>3</v>
      </c>
      <c r="K45" s="24">
        <v>4</v>
      </c>
      <c r="L45" s="24"/>
      <c r="M45" s="24" t="b">
        <v>0</v>
      </c>
      <c r="N45" s="24" t="s">
        <v>477</v>
      </c>
      <c r="O45" s="15">
        <f>VLOOKUP(N45,Select!D:H,5,FALSE)</f>
        <v>0</v>
      </c>
    </row>
    <row r="46" spans="1:15">
      <c r="A46" s="23">
        <v>103302</v>
      </c>
      <c r="B46" s="5" t="s">
        <v>22</v>
      </c>
      <c r="C46" s="6">
        <f>VLOOKUP(B46,Select!A:H,8,FALSE)</f>
        <v>3</v>
      </c>
      <c r="D46" s="5" t="s">
        <v>10</v>
      </c>
      <c r="E46" s="6">
        <f>VLOOKUP(D46,Select!B:H,7,FALSE)</f>
        <v>0</v>
      </c>
      <c r="F46" s="5" t="s">
        <v>3</v>
      </c>
      <c r="G46" s="6">
        <f>VLOOKUP(F46,Select!C:H,6,FALSE)</f>
        <v>0</v>
      </c>
      <c r="H46" s="24" t="s">
        <v>1100</v>
      </c>
      <c r="I46" s="24">
        <v>5</v>
      </c>
      <c r="J46" s="24">
        <v>3</v>
      </c>
      <c r="K46" s="24">
        <v>4</v>
      </c>
      <c r="L46" s="24"/>
      <c r="M46" s="24" t="b">
        <v>0</v>
      </c>
      <c r="N46" s="24" t="s">
        <v>477</v>
      </c>
      <c r="O46" s="15">
        <f>VLOOKUP(N46,Select!D:H,5,FALSE)</f>
        <v>0</v>
      </c>
    </row>
    <row r="47" spans="1:15">
      <c r="A47" s="23">
        <v>103303</v>
      </c>
      <c r="B47" s="1" t="s">
        <v>22</v>
      </c>
      <c r="C47" s="6">
        <f>VLOOKUP(B47,Select!A:H,8,FALSE)</f>
        <v>3</v>
      </c>
      <c r="D47" s="1" t="s">
        <v>10</v>
      </c>
      <c r="E47" s="6">
        <f>VLOOKUP(D47,Select!B:H,7,FALSE)</f>
        <v>0</v>
      </c>
      <c r="F47" s="1" t="s">
        <v>3</v>
      </c>
      <c r="G47" s="6">
        <f>VLOOKUP(F47,Select!C:H,6,FALSE)</f>
        <v>0</v>
      </c>
      <c r="H47" s="24" t="s">
        <v>1101</v>
      </c>
      <c r="I47" s="24">
        <v>6</v>
      </c>
      <c r="J47" s="24">
        <v>2</v>
      </c>
      <c r="K47" s="24">
        <v>2</v>
      </c>
      <c r="L47" s="24"/>
      <c r="M47" s="24" t="b">
        <v>0</v>
      </c>
      <c r="N47" s="24" t="s">
        <v>477</v>
      </c>
      <c r="O47" s="15">
        <f>VLOOKUP(N47,Select!D:H,5,FALSE)</f>
        <v>0</v>
      </c>
    </row>
    <row r="48" spans="1:15">
      <c r="A48" s="23">
        <v>103304</v>
      </c>
      <c r="B48" s="5" t="s">
        <v>22</v>
      </c>
      <c r="C48" s="6">
        <f>VLOOKUP(B48,Select!A:H,8,FALSE)</f>
        <v>3</v>
      </c>
      <c r="D48" s="5" t="s">
        <v>10</v>
      </c>
      <c r="E48" s="6">
        <f>VLOOKUP(D48,Select!B:H,7,FALSE)</f>
        <v>0</v>
      </c>
      <c r="F48" s="5" t="s">
        <v>23</v>
      </c>
      <c r="G48" s="6">
        <f>VLOOKUP(F48,Select!C:H,6,FALSE)</f>
        <v>1</v>
      </c>
      <c r="H48" s="24" t="s">
        <v>1102</v>
      </c>
      <c r="I48" s="24">
        <v>3</v>
      </c>
      <c r="J48" s="24"/>
      <c r="K48" s="24"/>
      <c r="L48" s="24"/>
      <c r="M48" s="24" t="b">
        <v>0</v>
      </c>
      <c r="N48" s="24" t="s">
        <v>477</v>
      </c>
      <c r="O48" s="15">
        <f>VLOOKUP(N48,Select!D:H,5,FALSE)</f>
        <v>0</v>
      </c>
    </row>
    <row r="49" spans="1:15">
      <c r="A49" s="23">
        <v>103305</v>
      </c>
      <c r="B49" s="1" t="s">
        <v>22</v>
      </c>
      <c r="C49" s="6">
        <f>VLOOKUP(B49,Select!A:H,8,FALSE)</f>
        <v>3</v>
      </c>
      <c r="D49" s="1" t="s">
        <v>36</v>
      </c>
      <c r="E49" s="6">
        <f>VLOOKUP(D49,Select!B:H,7,FALSE)</f>
        <v>1</v>
      </c>
      <c r="F49" s="1" t="s">
        <v>3</v>
      </c>
      <c r="G49" s="6">
        <f>VLOOKUP(F49,Select!C:H,6,FALSE)</f>
        <v>0</v>
      </c>
      <c r="H49" s="24" t="s">
        <v>1103</v>
      </c>
      <c r="I49" s="24">
        <v>2</v>
      </c>
      <c r="J49" s="24">
        <v>2</v>
      </c>
      <c r="K49" s="24">
        <v>2</v>
      </c>
      <c r="L49" s="24"/>
      <c r="M49" s="24" t="b">
        <v>0</v>
      </c>
      <c r="N49" s="24" t="s">
        <v>477</v>
      </c>
      <c r="O49" s="15">
        <f>VLOOKUP(N49,Select!D:H,5,FALSE)</f>
        <v>0</v>
      </c>
    </row>
    <row r="50" spans="1:15">
      <c r="A50" s="23">
        <v>103306</v>
      </c>
      <c r="B50" s="5" t="s">
        <v>22</v>
      </c>
      <c r="C50" s="6">
        <f>VLOOKUP(B50,Select!A:H,8,FALSE)</f>
        <v>3</v>
      </c>
      <c r="D50" s="5" t="s">
        <v>36</v>
      </c>
      <c r="E50" s="6">
        <f>VLOOKUP(D50,Select!B:H,7,FALSE)</f>
        <v>1</v>
      </c>
      <c r="F50" s="5" t="s">
        <v>3</v>
      </c>
      <c r="G50" s="6">
        <f>VLOOKUP(F50,Select!C:H,6,FALSE)</f>
        <v>0</v>
      </c>
      <c r="H50" s="24" t="s">
        <v>1104</v>
      </c>
      <c r="I50" s="24">
        <v>3</v>
      </c>
      <c r="J50" s="24">
        <v>2</v>
      </c>
      <c r="K50" s="24">
        <v>3</v>
      </c>
      <c r="L50" s="24"/>
      <c r="M50" s="24" t="b">
        <v>0</v>
      </c>
      <c r="N50" s="24" t="s">
        <v>477</v>
      </c>
      <c r="O50" s="15">
        <f>VLOOKUP(N50,Select!D:H,5,FALSE)</f>
        <v>0</v>
      </c>
    </row>
    <row r="51" spans="1:15">
      <c r="A51" s="23">
        <v>103307</v>
      </c>
      <c r="B51" s="1" t="s">
        <v>22</v>
      </c>
      <c r="C51" s="6">
        <f>VLOOKUP(B51,Select!A:H,8,FALSE)</f>
        <v>3</v>
      </c>
      <c r="D51" s="1" t="s">
        <v>36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24" t="s">
        <v>1105</v>
      </c>
      <c r="I51" s="24">
        <v>6</v>
      </c>
      <c r="J51" s="24">
        <v>5</v>
      </c>
      <c r="K51" s="24">
        <v>4</v>
      </c>
      <c r="L51" s="24"/>
      <c r="M51" s="24" t="b">
        <v>0</v>
      </c>
      <c r="N51" s="24" t="s">
        <v>477</v>
      </c>
      <c r="O51" s="15">
        <f>VLOOKUP(N51,Select!D:H,5,FALSE)</f>
        <v>0</v>
      </c>
    </row>
    <row r="52" spans="1:15">
      <c r="A52" s="23">
        <v>103308</v>
      </c>
      <c r="B52" s="5" t="s">
        <v>22</v>
      </c>
      <c r="C52" s="6">
        <f>VLOOKUP(B52,Select!A:H,8,FALSE)</f>
        <v>3</v>
      </c>
      <c r="D52" s="5" t="s">
        <v>36</v>
      </c>
      <c r="E52" s="6">
        <f>VLOOKUP(D52,Select!B:H,7,FALSE)</f>
        <v>1</v>
      </c>
      <c r="F52" s="5" t="s">
        <v>23</v>
      </c>
      <c r="G52" s="6">
        <f>VLOOKUP(F52,Select!C:H,6,FALSE)</f>
        <v>1</v>
      </c>
      <c r="H52" s="24" t="s">
        <v>1106</v>
      </c>
      <c r="I52" s="24">
        <v>4</v>
      </c>
      <c r="J52" s="24"/>
      <c r="K52" s="24"/>
      <c r="L52" s="24"/>
      <c r="M52" s="24" t="b">
        <v>0</v>
      </c>
      <c r="N52" s="24" t="s">
        <v>477</v>
      </c>
      <c r="O52" s="15">
        <f>VLOOKUP(N52,Select!D:H,5,FALSE)</f>
        <v>0</v>
      </c>
    </row>
    <row r="53" spans="1:15">
      <c r="A53" s="23">
        <v>103309</v>
      </c>
      <c r="B53" s="1" t="s">
        <v>22</v>
      </c>
      <c r="C53" s="6">
        <f>VLOOKUP(B53,Select!A:H,8,FALSE)</f>
        <v>3</v>
      </c>
      <c r="D53" s="1" t="s">
        <v>21</v>
      </c>
      <c r="E53" s="6">
        <f>VLOOKUP(D53,Select!B:H,7,FALSE)</f>
        <v>2</v>
      </c>
      <c r="F53" s="1" t="s">
        <v>3</v>
      </c>
      <c r="G53" s="6">
        <f>VLOOKUP(F53,Select!C:H,6,FALSE)</f>
        <v>0</v>
      </c>
      <c r="H53" s="24" t="s">
        <v>1107</v>
      </c>
      <c r="I53" s="24">
        <v>6</v>
      </c>
      <c r="J53" s="24">
        <v>3</v>
      </c>
      <c r="K53" s="24">
        <v>5</v>
      </c>
      <c r="L53" s="24"/>
      <c r="M53" s="24" t="b">
        <v>0</v>
      </c>
      <c r="N53" s="24" t="s">
        <v>477</v>
      </c>
      <c r="O53" s="15">
        <f>VLOOKUP(N53,Select!D:H,5,FALSE)</f>
        <v>0</v>
      </c>
    </row>
    <row r="54" spans="1:15">
      <c r="A54" s="23">
        <v>103310</v>
      </c>
      <c r="B54" s="5" t="s">
        <v>22</v>
      </c>
      <c r="C54" s="6">
        <f>VLOOKUP(B54,Select!A:H,8,FALSE)</f>
        <v>3</v>
      </c>
      <c r="D54" s="5" t="s">
        <v>21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24" t="s">
        <v>1108</v>
      </c>
      <c r="I54" s="24">
        <v>8</v>
      </c>
      <c r="J54" s="24">
        <v>3</v>
      </c>
      <c r="K54" s="24">
        <v>3</v>
      </c>
      <c r="L54" s="24"/>
      <c r="M54" s="24" t="b">
        <v>0</v>
      </c>
      <c r="N54" s="24" t="s">
        <v>477</v>
      </c>
      <c r="O54" s="15">
        <f>VLOOKUP(N54,Select!D:H,5,FALSE)</f>
        <v>0</v>
      </c>
    </row>
    <row r="55" spans="1:15">
      <c r="A55" s="23">
        <v>103311</v>
      </c>
      <c r="B55" s="1" t="s">
        <v>22</v>
      </c>
      <c r="C55" s="6">
        <f>VLOOKUP(B55,Select!A:H,8,FALSE)</f>
        <v>3</v>
      </c>
      <c r="D55" s="1" t="s">
        <v>21</v>
      </c>
      <c r="E55" s="6">
        <f>VLOOKUP(D55,Select!B:H,7,FALSE)</f>
        <v>2</v>
      </c>
      <c r="F55" s="1" t="s">
        <v>23</v>
      </c>
      <c r="G55" s="6">
        <f>VLOOKUP(F55,Select!C:H,6,FALSE)</f>
        <v>1</v>
      </c>
      <c r="H55" s="24" t="s">
        <v>1109</v>
      </c>
      <c r="I55" s="24">
        <v>3</v>
      </c>
      <c r="J55" s="24"/>
      <c r="K55" s="24"/>
      <c r="L55" s="24"/>
      <c r="M55" s="24" t="b">
        <v>0</v>
      </c>
      <c r="N55" s="24" t="s">
        <v>477</v>
      </c>
      <c r="O55" s="15">
        <f>VLOOKUP(N55,Select!D:H,5,FALSE)</f>
        <v>0</v>
      </c>
    </row>
    <row r="56" spans="1:15">
      <c r="A56" s="23">
        <v>103312</v>
      </c>
      <c r="B56" s="5" t="s">
        <v>22</v>
      </c>
      <c r="C56" s="6">
        <f>VLOOKUP(B56,Select!A:H,8,FALSE)</f>
        <v>3</v>
      </c>
      <c r="D56" s="5" t="s">
        <v>30</v>
      </c>
      <c r="E56" s="6">
        <f>VLOOKUP(D56,Select!B:H,7,FALSE)</f>
        <v>3</v>
      </c>
      <c r="F56" s="5" t="s">
        <v>3</v>
      </c>
      <c r="G56" s="6">
        <f>VLOOKUP(F56,Select!C:H,6,FALSE)</f>
        <v>0</v>
      </c>
      <c r="H56" s="24" t="s">
        <v>1110</v>
      </c>
      <c r="I56" s="24">
        <v>9</v>
      </c>
      <c r="J56" s="24">
        <v>5</v>
      </c>
      <c r="K56" s="24">
        <v>5</v>
      </c>
      <c r="L56" s="24"/>
      <c r="M56" s="24" t="b">
        <v>0</v>
      </c>
      <c r="N56" s="24" t="s">
        <v>477</v>
      </c>
      <c r="O56" s="15">
        <f>VLOOKUP(N56,Select!D:H,5,FALSE)</f>
        <v>0</v>
      </c>
    </row>
    <row r="57" spans="1:15">
      <c r="A57" s="23">
        <v>103400</v>
      </c>
      <c r="B57" s="1" t="s">
        <v>26</v>
      </c>
      <c r="C57" s="6">
        <f>VLOOKUP(B57,Select!A:H,8,FALSE)</f>
        <v>4</v>
      </c>
      <c r="D57" s="1" t="s">
        <v>11</v>
      </c>
      <c r="E57" s="6">
        <f>VLOOKUP(D57,Select!B:H,7,FALSE)</f>
        <v>0</v>
      </c>
      <c r="F57" s="1" t="s">
        <v>3</v>
      </c>
      <c r="G57" s="6">
        <f>VLOOKUP(F57,Select!C:H,6,FALSE)</f>
        <v>0</v>
      </c>
      <c r="H57" s="24" t="s">
        <v>1111</v>
      </c>
      <c r="I57" s="24">
        <v>2</v>
      </c>
      <c r="J57" s="24">
        <v>2</v>
      </c>
      <c r="K57" s="24">
        <v>2</v>
      </c>
      <c r="L57" s="24"/>
      <c r="M57" s="24" t="b">
        <v>0</v>
      </c>
      <c r="N57" s="24" t="s">
        <v>477</v>
      </c>
      <c r="O57" s="15">
        <f>VLOOKUP(N57,Select!D:H,5,FALSE)</f>
        <v>0</v>
      </c>
    </row>
    <row r="58" spans="1:15">
      <c r="A58" s="23">
        <v>103401</v>
      </c>
      <c r="B58" s="5" t="s">
        <v>26</v>
      </c>
      <c r="C58" s="6">
        <f>VLOOKUP(B58,Select!A:H,8,FALSE)</f>
        <v>4</v>
      </c>
      <c r="D58" s="5" t="s">
        <v>10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24" t="s">
        <v>1112</v>
      </c>
      <c r="I58" s="24">
        <v>2</v>
      </c>
      <c r="J58" s="24">
        <v>2</v>
      </c>
      <c r="K58" s="24">
        <v>1</v>
      </c>
      <c r="L58" s="24"/>
      <c r="M58" s="24" t="b">
        <v>0</v>
      </c>
      <c r="N58" s="24" t="s">
        <v>477</v>
      </c>
      <c r="O58" s="15">
        <f>VLOOKUP(N58,Select!D:H,5,FALSE)</f>
        <v>0</v>
      </c>
    </row>
    <row r="59" spans="1:15">
      <c r="A59" s="23">
        <v>103402</v>
      </c>
      <c r="B59" s="1" t="s">
        <v>26</v>
      </c>
      <c r="C59" s="6">
        <f>VLOOKUP(B59,Select!A:H,8,FALSE)</f>
        <v>4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24" t="s">
        <v>1113</v>
      </c>
      <c r="I59" s="24">
        <v>3</v>
      </c>
      <c r="J59" s="24">
        <v>2</v>
      </c>
      <c r="K59" s="24">
        <v>3</v>
      </c>
      <c r="L59" s="24"/>
      <c r="M59" s="24" t="b">
        <v>0</v>
      </c>
      <c r="N59" s="24" t="s">
        <v>477</v>
      </c>
      <c r="O59" s="15">
        <f>VLOOKUP(N59,Select!D:H,5,FALSE)</f>
        <v>0</v>
      </c>
    </row>
    <row r="60" spans="1:15">
      <c r="A60" s="23">
        <v>103403</v>
      </c>
      <c r="B60" s="5" t="s">
        <v>26</v>
      </c>
      <c r="C60" s="6">
        <f>VLOOKUP(B60,Select!A:H,8,FALSE)</f>
        <v>4</v>
      </c>
      <c r="D60" s="5" t="s">
        <v>10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24" t="s">
        <v>1114</v>
      </c>
      <c r="I60" s="24">
        <v>5</v>
      </c>
      <c r="J60" s="24">
        <v>4</v>
      </c>
      <c r="K60" s="24">
        <v>5</v>
      </c>
      <c r="L60" s="24"/>
      <c r="M60" s="24" t="b">
        <v>0</v>
      </c>
      <c r="N60" s="24" t="s">
        <v>477</v>
      </c>
      <c r="O60" s="15">
        <f>VLOOKUP(N60,Select!D:H,5,FALSE)</f>
        <v>0</v>
      </c>
    </row>
    <row r="61" spans="1:15">
      <c r="A61" s="23">
        <v>103404</v>
      </c>
      <c r="B61" s="1" t="s">
        <v>26</v>
      </c>
      <c r="C61" s="6">
        <f>VLOOKUP(B61,Select!A:H,8,FALSE)</f>
        <v>4</v>
      </c>
      <c r="D61" s="1" t="s">
        <v>10</v>
      </c>
      <c r="E61" s="6">
        <f>VLOOKUP(D61,Select!B:H,7,FALSE)</f>
        <v>0</v>
      </c>
      <c r="F61" s="1" t="s">
        <v>34</v>
      </c>
      <c r="G61" s="6">
        <f>VLOOKUP(F61,Select!C:H,6,FALSE)</f>
        <v>2</v>
      </c>
      <c r="H61" s="24" t="s">
        <v>1115</v>
      </c>
      <c r="I61" s="24">
        <v>5</v>
      </c>
      <c r="J61" s="24"/>
      <c r="K61" s="24"/>
      <c r="L61" s="24"/>
      <c r="M61" s="24" t="b">
        <v>0</v>
      </c>
      <c r="N61" s="24" t="s">
        <v>477</v>
      </c>
      <c r="O61" s="15">
        <f>VLOOKUP(N61,Select!D:H,5,FALSE)</f>
        <v>0</v>
      </c>
    </row>
    <row r="62" spans="1:15">
      <c r="A62" s="23">
        <v>103405</v>
      </c>
      <c r="B62" s="5" t="s">
        <v>26</v>
      </c>
      <c r="C62" s="6">
        <f>VLOOKUP(B62,Select!A:H,8,FALSE)</f>
        <v>4</v>
      </c>
      <c r="D62" s="5" t="s">
        <v>36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24" t="s">
        <v>1116</v>
      </c>
      <c r="I62" s="24">
        <v>3</v>
      </c>
      <c r="J62" s="24">
        <v>2</v>
      </c>
      <c r="K62" s="24">
        <v>1</v>
      </c>
      <c r="L62" s="24"/>
      <c r="M62" s="24" t="b">
        <v>0</v>
      </c>
      <c r="N62" s="24" t="s">
        <v>477</v>
      </c>
      <c r="O62" s="15">
        <f>VLOOKUP(N62,Select!D:H,5,FALSE)</f>
        <v>0</v>
      </c>
    </row>
    <row r="63" spans="1:15">
      <c r="A63" s="23">
        <v>103406</v>
      </c>
      <c r="B63" s="1" t="s">
        <v>26</v>
      </c>
      <c r="C63" s="6">
        <f>VLOOKUP(B63,Select!A:H,8,FALSE)</f>
        <v>4</v>
      </c>
      <c r="D63" s="1" t="s">
        <v>36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24" t="s">
        <v>1117</v>
      </c>
      <c r="I63" s="24">
        <v>4</v>
      </c>
      <c r="J63" s="24">
        <v>3</v>
      </c>
      <c r="K63" s="24">
        <v>4</v>
      </c>
      <c r="L63" s="24"/>
      <c r="M63" s="24" t="b">
        <v>0</v>
      </c>
      <c r="N63" s="24" t="s">
        <v>477</v>
      </c>
      <c r="O63" s="15">
        <f>VLOOKUP(N63,Select!D:H,5,FALSE)</f>
        <v>0</v>
      </c>
    </row>
    <row r="64" spans="1:15">
      <c r="A64" s="23">
        <v>103407</v>
      </c>
      <c r="B64" s="5" t="s">
        <v>26</v>
      </c>
      <c r="C64" s="6">
        <f>VLOOKUP(B64,Select!A:H,8,FALSE)</f>
        <v>4</v>
      </c>
      <c r="D64" s="5" t="s">
        <v>36</v>
      </c>
      <c r="E64" s="6">
        <f>VLOOKUP(D64,Select!B:H,7,FALSE)</f>
        <v>1</v>
      </c>
      <c r="F64" s="5" t="s">
        <v>3</v>
      </c>
      <c r="G64" s="6">
        <f>VLOOKUP(F64,Select!C:H,6,FALSE)</f>
        <v>0</v>
      </c>
      <c r="H64" s="24" t="s">
        <v>1118</v>
      </c>
      <c r="I64" s="24">
        <v>6</v>
      </c>
      <c r="J64" s="24">
        <v>4</v>
      </c>
      <c r="K64" s="24">
        <v>6</v>
      </c>
      <c r="L64" s="24"/>
      <c r="M64" s="24" t="b">
        <v>0</v>
      </c>
      <c r="N64" s="24" t="s">
        <v>477</v>
      </c>
      <c r="O64" s="15">
        <f>VLOOKUP(N64,Select!D:H,5,FALSE)</f>
        <v>0</v>
      </c>
    </row>
    <row r="65" spans="1:15">
      <c r="A65" s="23">
        <v>103408</v>
      </c>
      <c r="B65" s="1" t="s">
        <v>26</v>
      </c>
      <c r="C65" s="6">
        <f>VLOOKUP(B65,Select!A:H,8,FALSE)</f>
        <v>4</v>
      </c>
      <c r="D65" s="1" t="s">
        <v>36</v>
      </c>
      <c r="E65" s="6">
        <f>VLOOKUP(D65,Select!B:H,7,FALSE)</f>
        <v>1</v>
      </c>
      <c r="F65" s="1" t="s">
        <v>23</v>
      </c>
      <c r="G65" s="6">
        <f>VLOOKUP(F65,Select!C:H,6,FALSE)</f>
        <v>1</v>
      </c>
      <c r="H65" s="24" t="s">
        <v>1119</v>
      </c>
      <c r="I65" s="24">
        <v>5</v>
      </c>
      <c r="J65" s="24"/>
      <c r="K65" s="24"/>
      <c r="L65" s="24"/>
      <c r="M65" s="24" t="b">
        <v>0</v>
      </c>
      <c r="N65" s="24" t="s">
        <v>477</v>
      </c>
      <c r="O65" s="15">
        <f>VLOOKUP(N65,Select!D:H,5,FALSE)</f>
        <v>0</v>
      </c>
    </row>
    <row r="66" spans="1:15">
      <c r="A66" s="23">
        <v>103409</v>
      </c>
      <c r="B66" s="5" t="s">
        <v>26</v>
      </c>
      <c r="C66" s="6">
        <f>VLOOKUP(B66,Select!A:H,8,FALSE)</f>
        <v>4</v>
      </c>
      <c r="D66" s="5" t="s">
        <v>21</v>
      </c>
      <c r="E66" s="6">
        <f>VLOOKUP(D66,Select!B:H,7,FALSE)</f>
        <v>2</v>
      </c>
      <c r="F66" s="5" t="s">
        <v>3</v>
      </c>
      <c r="G66" s="6">
        <f>VLOOKUP(F66,Select!C:H,6,FALSE)</f>
        <v>0</v>
      </c>
      <c r="H66" s="24" t="s">
        <v>1120</v>
      </c>
      <c r="I66" s="24">
        <v>2</v>
      </c>
      <c r="J66" s="24">
        <v>2</v>
      </c>
      <c r="K66" s="24">
        <v>2</v>
      </c>
      <c r="L66" s="24"/>
      <c r="M66" s="24" t="b">
        <v>0</v>
      </c>
      <c r="N66" s="24" t="s">
        <v>477</v>
      </c>
      <c r="O66" s="15">
        <f>VLOOKUP(N66,Select!D:H,5,FALSE)</f>
        <v>0</v>
      </c>
    </row>
    <row r="67" spans="1:15">
      <c r="A67" s="23">
        <v>103410</v>
      </c>
      <c r="B67" s="1" t="s">
        <v>26</v>
      </c>
      <c r="C67" s="6">
        <f>VLOOKUP(B67,Select!A:H,8,FALSE)</f>
        <v>4</v>
      </c>
      <c r="D67" s="1" t="s">
        <v>21</v>
      </c>
      <c r="E67" s="6">
        <f>VLOOKUP(D67,Select!B:H,7,FALSE)</f>
        <v>2</v>
      </c>
      <c r="F67" s="1" t="s">
        <v>3</v>
      </c>
      <c r="G67" s="6">
        <f>VLOOKUP(F67,Select!C:H,6,FALSE)</f>
        <v>0</v>
      </c>
      <c r="H67" s="24" t="s">
        <v>1121</v>
      </c>
      <c r="I67" s="24">
        <v>8</v>
      </c>
      <c r="J67" s="24">
        <v>3</v>
      </c>
      <c r="K67" s="24">
        <v>3</v>
      </c>
      <c r="L67" s="24"/>
      <c r="M67" s="24" t="b">
        <v>0</v>
      </c>
      <c r="N67" s="24" t="s">
        <v>477</v>
      </c>
      <c r="O67" s="15">
        <f>VLOOKUP(N67,Select!D:H,5,FALSE)</f>
        <v>0</v>
      </c>
    </row>
    <row r="68" spans="1:15">
      <c r="A68" s="23">
        <v>103411</v>
      </c>
      <c r="B68" s="5" t="s">
        <v>26</v>
      </c>
      <c r="C68" s="6">
        <f>VLOOKUP(B68,Select!A:H,8,FALSE)</f>
        <v>4</v>
      </c>
      <c r="D68" s="5" t="s">
        <v>21</v>
      </c>
      <c r="E68" s="6">
        <f>VLOOKUP(D68,Select!B:H,7,FALSE)</f>
        <v>2</v>
      </c>
      <c r="F68" s="5" t="s">
        <v>23</v>
      </c>
      <c r="G68" s="6">
        <f>VLOOKUP(F68,Select!C:H,6,FALSE)</f>
        <v>1</v>
      </c>
      <c r="H68" s="24" t="s">
        <v>1122</v>
      </c>
      <c r="I68" s="24">
        <v>2</v>
      </c>
      <c r="J68" s="24"/>
      <c r="K68" s="24"/>
      <c r="L68" s="24"/>
      <c r="M68" s="24" t="b">
        <v>0</v>
      </c>
      <c r="N68" s="24" t="s">
        <v>477</v>
      </c>
      <c r="O68" s="15">
        <f>VLOOKUP(N68,Select!D:H,5,FALSE)</f>
        <v>0</v>
      </c>
    </row>
    <row r="69" spans="1:15">
      <c r="A69" s="23">
        <v>103412</v>
      </c>
      <c r="B69" s="1" t="s">
        <v>26</v>
      </c>
      <c r="C69" s="6">
        <f>VLOOKUP(B69,Select!A:H,8,FALSE)</f>
        <v>4</v>
      </c>
      <c r="D69" s="1" t="s">
        <v>30</v>
      </c>
      <c r="E69" s="6">
        <f>VLOOKUP(D69,Select!B:H,7,FALSE)</f>
        <v>3</v>
      </c>
      <c r="F69" s="1" t="s">
        <v>3</v>
      </c>
      <c r="G69" s="6">
        <f>VLOOKUP(F69,Select!C:H,6,FALSE)</f>
        <v>0</v>
      </c>
      <c r="H69" s="24" t="s">
        <v>1123</v>
      </c>
      <c r="I69" s="24">
        <v>9</v>
      </c>
      <c r="J69" s="24">
        <v>5</v>
      </c>
      <c r="K69" s="24">
        <v>5</v>
      </c>
      <c r="L69" s="24"/>
      <c r="M69" s="24" t="b">
        <v>0</v>
      </c>
      <c r="N69" s="24" t="s">
        <v>477</v>
      </c>
      <c r="O69" s="15">
        <f>VLOOKUP(N69,Select!D:H,5,FALSE)</f>
        <v>0</v>
      </c>
    </row>
    <row r="70" spans="1:15">
      <c r="A70" s="23">
        <v>103500</v>
      </c>
      <c r="B70" s="5" t="s">
        <v>534</v>
      </c>
      <c r="C70" s="6">
        <f>VLOOKUP(B70,Select!A:H,8,FALSE)</f>
        <v>8</v>
      </c>
      <c r="D70" s="5" t="s">
        <v>11</v>
      </c>
      <c r="E70" s="6">
        <f>VLOOKUP(D70,Select!B:H,7,FALSE)</f>
        <v>0</v>
      </c>
      <c r="F70" s="5" t="s">
        <v>3</v>
      </c>
      <c r="G70" s="6">
        <f>VLOOKUP(F70,Select!C:H,6,FALSE)</f>
        <v>0</v>
      </c>
      <c r="H70" s="24" t="s">
        <v>1124</v>
      </c>
      <c r="I70" s="24">
        <v>2</v>
      </c>
      <c r="J70" s="24">
        <v>2</v>
      </c>
      <c r="K70" s="24">
        <v>2</v>
      </c>
      <c r="L70" s="24"/>
      <c r="M70" s="24" t="b">
        <v>0</v>
      </c>
      <c r="N70" s="24" t="s">
        <v>477</v>
      </c>
      <c r="O70" s="15">
        <f>VLOOKUP(N70,Select!D:H,5,FALSE)</f>
        <v>0</v>
      </c>
    </row>
    <row r="71" spans="1:15">
      <c r="A71" s="23">
        <v>103501</v>
      </c>
      <c r="B71" s="1" t="s">
        <v>534</v>
      </c>
      <c r="C71" s="6">
        <f>VLOOKUP(B71,Select!A:H,8,FALSE)</f>
        <v>8</v>
      </c>
      <c r="D71" s="1" t="s">
        <v>10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24" t="s">
        <v>1125</v>
      </c>
      <c r="I71" s="24">
        <v>3</v>
      </c>
      <c r="J71" s="24">
        <v>3</v>
      </c>
      <c r="K71" s="24">
        <v>2</v>
      </c>
      <c r="L71" s="24"/>
      <c r="M71" s="24" t="b">
        <v>0</v>
      </c>
      <c r="N71" s="24" t="s">
        <v>477</v>
      </c>
      <c r="O71" s="15">
        <f>VLOOKUP(N71,Select!D:H,5,FALSE)</f>
        <v>0</v>
      </c>
    </row>
    <row r="72" spans="1:15">
      <c r="A72" s="23">
        <v>103502</v>
      </c>
      <c r="B72" s="5" t="s">
        <v>534</v>
      </c>
      <c r="C72" s="6">
        <f>VLOOKUP(B72,Select!A:H,8,FALSE)</f>
        <v>8</v>
      </c>
      <c r="D72" s="5" t="s">
        <v>10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24" t="s">
        <v>1126</v>
      </c>
      <c r="I72" s="24">
        <v>3</v>
      </c>
      <c r="J72" s="24">
        <v>1</v>
      </c>
      <c r="K72" s="24">
        <v>1</v>
      </c>
      <c r="L72" s="24"/>
      <c r="M72" s="24" t="b">
        <v>0</v>
      </c>
      <c r="N72" s="24" t="s">
        <v>477</v>
      </c>
      <c r="O72" s="15">
        <f>VLOOKUP(N72,Select!D:H,5,FALSE)</f>
        <v>0</v>
      </c>
    </row>
    <row r="73" spans="1:15">
      <c r="A73" s="23">
        <v>103503</v>
      </c>
      <c r="B73" s="1" t="s">
        <v>534</v>
      </c>
      <c r="C73" s="6">
        <f>VLOOKUP(B73,Select!A:H,8,FALSE)</f>
        <v>8</v>
      </c>
      <c r="D73" s="1" t="s">
        <v>10</v>
      </c>
      <c r="E73" s="6">
        <f>VLOOKUP(D73,Select!B:H,7,FALSE)</f>
        <v>0</v>
      </c>
      <c r="F73" s="1" t="s">
        <v>3</v>
      </c>
      <c r="G73" s="6">
        <f>VLOOKUP(F73,Select!C:H,6,FALSE)</f>
        <v>0</v>
      </c>
      <c r="H73" s="24" t="s">
        <v>1127</v>
      </c>
      <c r="I73" s="24">
        <v>3</v>
      </c>
      <c r="J73" s="24">
        <v>2</v>
      </c>
      <c r="K73" s="24">
        <v>2</v>
      </c>
      <c r="L73" s="24"/>
      <c r="M73" s="24" t="b">
        <v>0</v>
      </c>
      <c r="N73" s="24" t="s">
        <v>477</v>
      </c>
      <c r="O73" s="15">
        <f>VLOOKUP(N73,Select!D:H,5,FALSE)</f>
        <v>0</v>
      </c>
    </row>
    <row r="74" spans="1:15">
      <c r="A74" s="23">
        <v>103504</v>
      </c>
      <c r="B74" s="5" t="s">
        <v>534</v>
      </c>
      <c r="C74" s="6">
        <f>VLOOKUP(B74,Select!A:H,8,FALSE)</f>
        <v>8</v>
      </c>
      <c r="D74" s="5" t="s">
        <v>10</v>
      </c>
      <c r="E74" s="6">
        <f>VLOOKUP(D74,Select!B:H,7,FALSE)</f>
        <v>0</v>
      </c>
      <c r="F74" s="5" t="s">
        <v>23</v>
      </c>
      <c r="G74" s="6">
        <f>VLOOKUP(F74,Select!C:H,6,FALSE)</f>
        <v>1</v>
      </c>
      <c r="H74" s="24" t="s">
        <v>1128</v>
      </c>
      <c r="I74" s="24">
        <v>3</v>
      </c>
      <c r="J74" s="24"/>
      <c r="K74" s="24"/>
      <c r="L74" s="24"/>
      <c r="M74" s="24" t="b">
        <v>0</v>
      </c>
      <c r="N74" s="24" t="s">
        <v>477</v>
      </c>
      <c r="O74" s="15">
        <f>VLOOKUP(N74,Select!D:H,5,FALSE)</f>
        <v>0</v>
      </c>
    </row>
    <row r="75" spans="1:15">
      <c r="A75" s="23">
        <v>103505</v>
      </c>
      <c r="B75" s="1" t="s">
        <v>534</v>
      </c>
      <c r="C75" s="6">
        <f>VLOOKUP(B75,Select!A:H,8,FALSE)</f>
        <v>8</v>
      </c>
      <c r="D75" s="1" t="s">
        <v>36</v>
      </c>
      <c r="E75" s="6">
        <f>VLOOKUP(D75,Select!B:H,7,FALSE)</f>
        <v>1</v>
      </c>
      <c r="F75" s="1" t="s">
        <v>3</v>
      </c>
      <c r="G75" s="6">
        <f>VLOOKUP(F75,Select!C:H,6,FALSE)</f>
        <v>0</v>
      </c>
      <c r="H75" s="24" t="s">
        <v>1129</v>
      </c>
      <c r="I75" s="24">
        <v>2</v>
      </c>
      <c r="J75" s="24">
        <v>1</v>
      </c>
      <c r="K75" s="24">
        <v>2</v>
      </c>
      <c r="L75" s="24"/>
      <c r="M75" s="24" t="b">
        <v>0</v>
      </c>
      <c r="N75" s="24" t="s">
        <v>477</v>
      </c>
      <c r="O75" s="15">
        <f>VLOOKUP(N75,Select!D:H,5,FALSE)</f>
        <v>0</v>
      </c>
    </row>
    <row r="76" spans="1:15">
      <c r="A76" s="23">
        <v>103506</v>
      </c>
      <c r="B76" s="5" t="s">
        <v>534</v>
      </c>
      <c r="C76" s="6">
        <f>VLOOKUP(B76,Select!A:H,8,FALSE)</f>
        <v>8</v>
      </c>
      <c r="D76" s="5" t="s">
        <v>36</v>
      </c>
      <c r="E76" s="6">
        <f>VLOOKUP(D76,Select!B:H,7,FALSE)</f>
        <v>1</v>
      </c>
      <c r="F76" s="5" t="s">
        <v>3</v>
      </c>
      <c r="G76" s="6">
        <f>VLOOKUP(F76,Select!C:H,6,FALSE)</f>
        <v>0</v>
      </c>
      <c r="H76" s="24" t="s">
        <v>1130</v>
      </c>
      <c r="I76" s="24">
        <v>4</v>
      </c>
      <c r="J76" s="24">
        <v>3</v>
      </c>
      <c r="K76" s="24">
        <v>3</v>
      </c>
      <c r="L76" s="24"/>
      <c r="M76" s="24" t="b">
        <v>0</v>
      </c>
      <c r="N76" s="24" t="s">
        <v>477</v>
      </c>
      <c r="O76" s="15">
        <f>VLOOKUP(N76,Select!D:H,5,FALSE)</f>
        <v>0</v>
      </c>
    </row>
    <row r="77" spans="1:15">
      <c r="A77" s="23">
        <v>103507</v>
      </c>
      <c r="B77" s="1" t="s">
        <v>534</v>
      </c>
      <c r="C77" s="6">
        <f>VLOOKUP(B77,Select!A:H,8,FALSE)</f>
        <v>8</v>
      </c>
      <c r="D77" s="1" t="s">
        <v>36</v>
      </c>
      <c r="E77" s="6">
        <f>VLOOKUP(D77,Select!B:H,7,FALSE)</f>
        <v>1</v>
      </c>
      <c r="F77" s="1" t="s">
        <v>3</v>
      </c>
      <c r="G77" s="6">
        <f>VLOOKUP(F77,Select!C:H,6,FALSE)</f>
        <v>0</v>
      </c>
      <c r="H77" s="24" t="s">
        <v>1131</v>
      </c>
      <c r="I77" s="24">
        <v>7</v>
      </c>
      <c r="J77" s="24">
        <v>4</v>
      </c>
      <c r="K77" s="24">
        <v>5</v>
      </c>
      <c r="L77" s="24"/>
      <c r="M77" s="24" t="b">
        <v>0</v>
      </c>
      <c r="N77" s="24" t="s">
        <v>477</v>
      </c>
      <c r="O77" s="15">
        <f>VLOOKUP(N77,Select!D:H,5,FALSE)</f>
        <v>0</v>
      </c>
    </row>
    <row r="78" spans="1:15">
      <c r="A78" s="23">
        <v>103508</v>
      </c>
      <c r="B78" s="5" t="s">
        <v>534</v>
      </c>
      <c r="C78" s="6">
        <f>VLOOKUP(B78,Select!A:H,8,FALSE)</f>
        <v>8</v>
      </c>
      <c r="D78" s="5" t="s">
        <v>36</v>
      </c>
      <c r="E78" s="6">
        <f>VLOOKUP(D78,Select!B:H,7,FALSE)</f>
        <v>1</v>
      </c>
      <c r="F78" s="5" t="s">
        <v>23</v>
      </c>
      <c r="G78" s="6">
        <f>VLOOKUP(F78,Select!C:H,6,FALSE)</f>
        <v>1</v>
      </c>
      <c r="H78" s="24" t="s">
        <v>1132</v>
      </c>
      <c r="I78" s="24">
        <v>1</v>
      </c>
      <c r="J78" s="24"/>
      <c r="K78" s="24"/>
      <c r="L78" s="24"/>
      <c r="M78" s="24" t="b">
        <v>0</v>
      </c>
      <c r="N78" s="24" t="s">
        <v>477</v>
      </c>
      <c r="O78" s="15">
        <f>VLOOKUP(N78,Select!D:H,5,FALSE)</f>
        <v>0</v>
      </c>
    </row>
    <row r="79" spans="1:15">
      <c r="A79" s="23">
        <v>103509</v>
      </c>
      <c r="B79" s="1" t="s">
        <v>534</v>
      </c>
      <c r="C79" s="6">
        <f>VLOOKUP(B79,Select!A:H,8,FALSE)</f>
        <v>8</v>
      </c>
      <c r="D79" s="1" t="s">
        <v>21</v>
      </c>
      <c r="E79" s="6">
        <f>VLOOKUP(D79,Select!B:H,7,FALSE)</f>
        <v>2</v>
      </c>
      <c r="F79" s="1" t="s">
        <v>3</v>
      </c>
      <c r="G79" s="6">
        <f>VLOOKUP(F79,Select!C:H,6,FALSE)</f>
        <v>0</v>
      </c>
      <c r="H79" s="24" t="s">
        <v>1133</v>
      </c>
      <c r="I79" s="24">
        <v>2</v>
      </c>
      <c r="J79" s="24">
        <v>1</v>
      </c>
      <c r="K79" s="24">
        <v>1</v>
      </c>
      <c r="L79" s="24"/>
      <c r="M79" s="24" t="b">
        <v>0</v>
      </c>
      <c r="N79" s="24" t="s">
        <v>477</v>
      </c>
      <c r="O79" s="15">
        <f>VLOOKUP(N79,Select!D:H,5,FALSE)</f>
        <v>0</v>
      </c>
    </row>
    <row r="80" spans="1:15">
      <c r="A80" s="23">
        <v>103510</v>
      </c>
      <c r="B80" s="5" t="s">
        <v>534</v>
      </c>
      <c r="C80" s="6">
        <f>VLOOKUP(B80,Select!A:H,8,FALSE)</f>
        <v>8</v>
      </c>
      <c r="D80" s="5" t="s">
        <v>21</v>
      </c>
      <c r="E80" s="6">
        <f>VLOOKUP(D80,Select!B:H,7,FALSE)</f>
        <v>2</v>
      </c>
      <c r="F80" s="5" t="s">
        <v>3</v>
      </c>
      <c r="G80" s="6">
        <f>VLOOKUP(F80,Select!C:H,6,FALSE)</f>
        <v>0</v>
      </c>
      <c r="H80" s="24" t="s">
        <v>1134</v>
      </c>
      <c r="I80" s="24">
        <v>6</v>
      </c>
      <c r="J80" s="24">
        <v>3</v>
      </c>
      <c r="K80" s="24">
        <v>6</v>
      </c>
      <c r="L80" s="24"/>
      <c r="M80" s="24" t="b">
        <v>0</v>
      </c>
      <c r="N80" s="24" t="s">
        <v>477</v>
      </c>
      <c r="O80" s="15">
        <f>VLOOKUP(N80,Select!D:H,5,FALSE)</f>
        <v>0</v>
      </c>
    </row>
    <row r="81" spans="1:15">
      <c r="A81" s="23">
        <v>103511</v>
      </c>
      <c r="B81" s="1" t="s">
        <v>534</v>
      </c>
      <c r="C81" s="6">
        <f>VLOOKUP(B81,Select!A:H,8,FALSE)</f>
        <v>8</v>
      </c>
      <c r="D81" s="1" t="s">
        <v>21</v>
      </c>
      <c r="E81" s="6">
        <f>VLOOKUP(D81,Select!B:H,7,FALSE)</f>
        <v>2</v>
      </c>
      <c r="F81" s="1" t="s">
        <v>23</v>
      </c>
      <c r="G81" s="6">
        <f>VLOOKUP(F81,Select!C:H,6,FALSE)</f>
        <v>1</v>
      </c>
      <c r="H81" s="24" t="s">
        <v>1135</v>
      </c>
      <c r="I81" s="24">
        <v>3</v>
      </c>
      <c r="J81" s="24"/>
      <c r="K81" s="24"/>
      <c r="L81" s="24"/>
      <c r="M81" s="24" t="b">
        <v>0</v>
      </c>
      <c r="N81" s="24" t="s">
        <v>477</v>
      </c>
      <c r="O81" s="15">
        <f>VLOOKUP(N81,Select!D:H,5,FALSE)</f>
        <v>0</v>
      </c>
    </row>
    <row r="82" spans="1:15">
      <c r="A82" s="23">
        <v>103512</v>
      </c>
      <c r="B82" s="5" t="s">
        <v>534</v>
      </c>
      <c r="C82" s="6">
        <f>VLOOKUP(B82,Select!A:H,8,FALSE)</f>
        <v>8</v>
      </c>
      <c r="D82" s="5" t="s">
        <v>30</v>
      </c>
      <c r="E82" s="6">
        <f>VLOOKUP(D82,Select!B:H,7,FALSE)</f>
        <v>3</v>
      </c>
      <c r="F82" s="5" t="s">
        <v>3</v>
      </c>
      <c r="G82" s="6">
        <f>VLOOKUP(F82,Select!C:H,6,FALSE)</f>
        <v>0</v>
      </c>
      <c r="H82" s="24" t="s">
        <v>1136</v>
      </c>
      <c r="I82" s="24">
        <v>8</v>
      </c>
      <c r="J82" s="24">
        <v>5</v>
      </c>
      <c r="K82" s="24">
        <v>5</v>
      </c>
      <c r="L82" s="24"/>
      <c r="M82" s="24" t="b">
        <v>0</v>
      </c>
      <c r="N82" s="24" t="s">
        <v>477</v>
      </c>
      <c r="O82" s="15">
        <f>VLOOKUP(N82,Select!D:H,5,FALSE)</f>
        <v>0</v>
      </c>
    </row>
    <row r="83" spans="1:15">
      <c r="A83" s="23">
        <v>103600</v>
      </c>
      <c r="B83" s="1" t="s">
        <v>532</v>
      </c>
      <c r="C83" s="6">
        <f>VLOOKUP(B83,Select!A:H,8,FALSE)</f>
        <v>9</v>
      </c>
      <c r="D83" s="1" t="s">
        <v>11</v>
      </c>
      <c r="E83" s="6">
        <f>VLOOKUP(D83,Select!B:H,7,FALSE)</f>
        <v>0</v>
      </c>
      <c r="F83" s="1" t="s">
        <v>3</v>
      </c>
      <c r="G83" s="6">
        <f>VLOOKUP(F83,Select!C:H,6,FALSE)</f>
        <v>0</v>
      </c>
      <c r="H83" s="24" t="s">
        <v>1137</v>
      </c>
      <c r="I83" s="24">
        <v>2</v>
      </c>
      <c r="J83" s="24">
        <v>1</v>
      </c>
      <c r="K83" s="24">
        <v>3</v>
      </c>
      <c r="L83" s="24"/>
      <c r="M83" s="24" t="b">
        <v>0</v>
      </c>
      <c r="N83" s="24" t="s">
        <v>477</v>
      </c>
      <c r="O83" s="15">
        <f>VLOOKUP(N83,Select!D:H,5,FALSE)</f>
        <v>0</v>
      </c>
    </row>
    <row r="84" spans="1:15">
      <c r="A84" s="23">
        <v>103601</v>
      </c>
      <c r="B84" s="5" t="s">
        <v>532</v>
      </c>
      <c r="C84" s="6">
        <f>VLOOKUP(B84,Select!A:H,8,FALSE)</f>
        <v>9</v>
      </c>
      <c r="D84" s="5" t="s">
        <v>10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24" t="s">
        <v>1138</v>
      </c>
      <c r="I84" s="24">
        <v>3</v>
      </c>
      <c r="J84" s="24">
        <v>2</v>
      </c>
      <c r="K84" s="24">
        <v>2</v>
      </c>
      <c r="L84" s="24"/>
      <c r="M84" s="24" t="b">
        <v>0</v>
      </c>
      <c r="N84" s="24" t="s">
        <v>477</v>
      </c>
      <c r="O84" s="15">
        <f>VLOOKUP(N84,Select!D:H,5,FALSE)</f>
        <v>0</v>
      </c>
    </row>
    <row r="85" spans="1:15">
      <c r="A85" s="23">
        <v>103602</v>
      </c>
      <c r="B85" s="1" t="s">
        <v>532</v>
      </c>
      <c r="C85" s="6">
        <f>VLOOKUP(B85,Select!A:H,8,FALSE)</f>
        <v>9</v>
      </c>
      <c r="D85" s="1" t="s">
        <v>10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24" t="s">
        <v>1139</v>
      </c>
      <c r="I85" s="24">
        <v>4</v>
      </c>
      <c r="J85" s="24">
        <v>3</v>
      </c>
      <c r="K85" s="24">
        <v>3</v>
      </c>
      <c r="L85" s="24"/>
      <c r="M85" s="24" t="b">
        <v>0</v>
      </c>
      <c r="N85" s="24" t="s">
        <v>477</v>
      </c>
      <c r="O85" s="15">
        <f>VLOOKUP(N85,Select!D:H,5,FALSE)</f>
        <v>0</v>
      </c>
    </row>
    <row r="86" spans="1:15">
      <c r="A86" s="23">
        <v>103603</v>
      </c>
      <c r="B86" s="5" t="s">
        <v>532</v>
      </c>
      <c r="C86" s="6">
        <f>VLOOKUP(B86,Select!A:H,8,FALSE)</f>
        <v>9</v>
      </c>
      <c r="D86" s="5" t="s">
        <v>10</v>
      </c>
      <c r="E86" s="6">
        <f>VLOOKUP(D86,Select!B:H,7,FALSE)</f>
        <v>0</v>
      </c>
      <c r="F86" s="5" t="s">
        <v>3</v>
      </c>
      <c r="G86" s="6">
        <f>VLOOKUP(F86,Select!C:H,6,FALSE)</f>
        <v>0</v>
      </c>
      <c r="H86" s="24" t="s">
        <v>1140</v>
      </c>
      <c r="I86" s="24">
        <v>6</v>
      </c>
      <c r="J86" s="24">
        <v>3</v>
      </c>
      <c r="K86" s="24">
        <v>7</v>
      </c>
      <c r="L86" s="24"/>
      <c r="M86" s="24" t="b">
        <v>0</v>
      </c>
      <c r="N86" s="24" t="s">
        <v>477</v>
      </c>
      <c r="O86" s="15">
        <f>VLOOKUP(N86,Select!D:H,5,FALSE)</f>
        <v>0</v>
      </c>
    </row>
    <row r="87" spans="1:15">
      <c r="A87" s="23">
        <v>103604</v>
      </c>
      <c r="B87" s="1" t="s">
        <v>532</v>
      </c>
      <c r="C87" s="6">
        <f>VLOOKUP(B87,Select!A:H,8,FALSE)</f>
        <v>9</v>
      </c>
      <c r="D87" s="1" t="s">
        <v>10</v>
      </c>
      <c r="E87" s="6">
        <f>VLOOKUP(D87,Select!B:H,7,FALSE)</f>
        <v>0</v>
      </c>
      <c r="F87" s="1" t="s">
        <v>23</v>
      </c>
      <c r="G87" s="6">
        <f>VLOOKUP(F87,Select!C:H,6,FALSE)</f>
        <v>1</v>
      </c>
      <c r="H87" s="24" t="s">
        <v>1141</v>
      </c>
      <c r="I87" s="24">
        <v>1</v>
      </c>
      <c r="J87" s="24"/>
      <c r="K87" s="24"/>
      <c r="L87" s="24"/>
      <c r="M87" s="24" t="b">
        <v>0</v>
      </c>
      <c r="N87" s="24" t="s">
        <v>477</v>
      </c>
      <c r="O87" s="15">
        <f>VLOOKUP(N87,Select!D:H,5,FALSE)</f>
        <v>0</v>
      </c>
    </row>
    <row r="88" spans="1:15">
      <c r="A88" s="23">
        <v>103605</v>
      </c>
      <c r="B88" s="5" t="s">
        <v>532</v>
      </c>
      <c r="C88" s="6">
        <f>VLOOKUP(B88,Select!A:H,8,FALSE)</f>
        <v>9</v>
      </c>
      <c r="D88" s="5" t="s">
        <v>36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24" t="s">
        <v>1142</v>
      </c>
      <c r="I88" s="24">
        <v>3</v>
      </c>
      <c r="J88" s="24">
        <v>3</v>
      </c>
      <c r="K88" s="24">
        <v>2</v>
      </c>
      <c r="L88" s="24"/>
      <c r="M88" s="24" t="b">
        <v>0</v>
      </c>
      <c r="N88" s="24" t="s">
        <v>477</v>
      </c>
      <c r="O88" s="15">
        <f>VLOOKUP(N88,Select!D:H,5,FALSE)</f>
        <v>0</v>
      </c>
    </row>
    <row r="89" spans="1:15">
      <c r="A89" s="23">
        <v>103606</v>
      </c>
      <c r="B89" s="1" t="s">
        <v>532</v>
      </c>
      <c r="C89" s="6">
        <f>VLOOKUP(B89,Select!A:H,8,FALSE)</f>
        <v>9</v>
      </c>
      <c r="D89" s="1" t="s">
        <v>36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24" t="s">
        <v>1143</v>
      </c>
      <c r="I89" s="24">
        <v>5</v>
      </c>
      <c r="J89" s="24">
        <v>4</v>
      </c>
      <c r="K89" s="24">
        <v>5</v>
      </c>
      <c r="L89" s="24"/>
      <c r="M89" s="24" t="b">
        <v>0</v>
      </c>
      <c r="N89" s="24" t="s">
        <v>477</v>
      </c>
      <c r="O89" s="15">
        <f>VLOOKUP(N89,Select!D:H,5,FALSE)</f>
        <v>0</v>
      </c>
    </row>
    <row r="90" spans="1:15">
      <c r="A90" s="23">
        <v>103607</v>
      </c>
      <c r="B90" s="5" t="s">
        <v>532</v>
      </c>
      <c r="C90" s="6">
        <f>VLOOKUP(B90,Select!A:H,8,FALSE)</f>
        <v>9</v>
      </c>
      <c r="D90" s="5" t="s">
        <v>36</v>
      </c>
      <c r="E90" s="6">
        <f>VLOOKUP(D90,Select!B:H,7,FALSE)</f>
        <v>1</v>
      </c>
      <c r="F90" s="5" t="s">
        <v>3</v>
      </c>
      <c r="G90" s="6">
        <f>VLOOKUP(F90,Select!C:H,6,FALSE)</f>
        <v>0</v>
      </c>
      <c r="H90" s="24" t="s">
        <v>1144</v>
      </c>
      <c r="I90" s="24">
        <v>6</v>
      </c>
      <c r="J90" s="24">
        <v>4</v>
      </c>
      <c r="K90" s="24">
        <v>6</v>
      </c>
      <c r="L90" s="24"/>
      <c r="M90" s="24" t="b">
        <v>0</v>
      </c>
      <c r="N90" s="24" t="s">
        <v>477</v>
      </c>
      <c r="O90" s="15">
        <f>VLOOKUP(N90,Select!D:H,5,FALSE)</f>
        <v>0</v>
      </c>
    </row>
    <row r="91" spans="1:15">
      <c r="A91" s="23">
        <v>103608</v>
      </c>
      <c r="B91" s="1" t="s">
        <v>532</v>
      </c>
      <c r="C91" s="6">
        <f>VLOOKUP(B91,Select!A:H,8,FALSE)</f>
        <v>9</v>
      </c>
      <c r="D91" s="1" t="s">
        <v>36</v>
      </c>
      <c r="E91" s="6">
        <f>VLOOKUP(D91,Select!B:H,7,FALSE)</f>
        <v>1</v>
      </c>
      <c r="F91" s="1" t="s">
        <v>23</v>
      </c>
      <c r="G91" s="6">
        <f>VLOOKUP(F91,Select!C:H,6,FALSE)</f>
        <v>1</v>
      </c>
      <c r="H91" s="24" t="s">
        <v>1145</v>
      </c>
      <c r="I91" s="24">
        <v>2</v>
      </c>
      <c r="J91" s="24"/>
      <c r="K91" s="24"/>
      <c r="L91" s="24"/>
      <c r="M91" s="24" t="b">
        <v>0</v>
      </c>
      <c r="N91" s="24" t="s">
        <v>477</v>
      </c>
      <c r="O91" s="15">
        <f>VLOOKUP(N91,Select!D:H,5,FALSE)</f>
        <v>0</v>
      </c>
    </row>
    <row r="92" spans="1:15">
      <c r="A92" s="23">
        <v>103609</v>
      </c>
      <c r="B92" s="5" t="s">
        <v>532</v>
      </c>
      <c r="C92" s="6">
        <f>VLOOKUP(B92,Select!A:H,8,FALSE)</f>
        <v>9</v>
      </c>
      <c r="D92" s="5" t="s">
        <v>21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24" t="s">
        <v>1146</v>
      </c>
      <c r="I92" s="24">
        <v>5</v>
      </c>
      <c r="J92" s="24">
        <v>6</v>
      </c>
      <c r="K92" s="24">
        <v>6</v>
      </c>
      <c r="L92" s="24"/>
      <c r="M92" s="24" t="b">
        <v>0</v>
      </c>
      <c r="N92" s="24" t="s">
        <v>477</v>
      </c>
      <c r="O92" s="15">
        <f>VLOOKUP(N92,Select!D:H,5,FALSE)</f>
        <v>0</v>
      </c>
    </row>
    <row r="93" spans="1:15">
      <c r="A93" s="23">
        <v>103610</v>
      </c>
      <c r="B93" s="1" t="s">
        <v>532</v>
      </c>
      <c r="C93" s="6">
        <f>VLOOKUP(B93,Select!A:H,8,FALSE)</f>
        <v>9</v>
      </c>
      <c r="D93" s="1" t="s">
        <v>21</v>
      </c>
      <c r="E93" s="6">
        <f>VLOOKUP(D93,Select!B:H,7,FALSE)</f>
        <v>2</v>
      </c>
      <c r="F93" s="1" t="s">
        <v>3</v>
      </c>
      <c r="G93" s="6">
        <f>VLOOKUP(F93,Select!C:H,6,FALSE)</f>
        <v>0</v>
      </c>
      <c r="H93" s="24" t="s">
        <v>1147</v>
      </c>
      <c r="I93" s="24">
        <v>7</v>
      </c>
      <c r="J93" s="24">
        <v>5</v>
      </c>
      <c r="K93" s="24">
        <v>7</v>
      </c>
      <c r="L93" s="24"/>
      <c r="M93" s="24" t="b">
        <v>0</v>
      </c>
      <c r="N93" s="24" t="s">
        <v>477</v>
      </c>
      <c r="O93" s="15">
        <f>VLOOKUP(N93,Select!D:H,5,FALSE)</f>
        <v>0</v>
      </c>
    </row>
    <row r="94" spans="1:15">
      <c r="A94" s="23">
        <v>103611</v>
      </c>
      <c r="B94" s="5" t="s">
        <v>532</v>
      </c>
      <c r="C94" s="6">
        <f>VLOOKUP(B94,Select!A:H,8,FALSE)</f>
        <v>9</v>
      </c>
      <c r="D94" s="5" t="s">
        <v>21</v>
      </c>
      <c r="E94" s="6">
        <f>VLOOKUP(D94,Select!B:H,7,FALSE)</f>
        <v>2</v>
      </c>
      <c r="F94" s="5" t="s">
        <v>23</v>
      </c>
      <c r="G94" s="6">
        <f>VLOOKUP(F94,Select!C:H,6,FALSE)</f>
        <v>1</v>
      </c>
      <c r="H94" s="24" t="s">
        <v>1148</v>
      </c>
      <c r="I94" s="24">
        <v>3</v>
      </c>
      <c r="J94" s="24"/>
      <c r="K94" s="24"/>
      <c r="L94" s="24"/>
      <c r="M94" s="24" t="b">
        <v>0</v>
      </c>
      <c r="N94" s="24" t="s">
        <v>477</v>
      </c>
      <c r="O94" s="15">
        <f>VLOOKUP(N94,Select!D:H,5,FALSE)</f>
        <v>0</v>
      </c>
    </row>
    <row r="95" spans="1:15">
      <c r="A95" s="23">
        <v>103612</v>
      </c>
      <c r="B95" s="1" t="s">
        <v>532</v>
      </c>
      <c r="C95" s="6">
        <f>VLOOKUP(B95,Select!A:H,8,FALSE)</f>
        <v>9</v>
      </c>
      <c r="D95" s="1" t="s">
        <v>30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24" t="s">
        <v>1149</v>
      </c>
      <c r="I95" s="24">
        <v>7</v>
      </c>
      <c r="J95" s="24">
        <v>4</v>
      </c>
      <c r="K95" s="24">
        <v>5</v>
      </c>
      <c r="L95" s="24"/>
      <c r="M95" s="24" t="b">
        <v>0</v>
      </c>
      <c r="N95" s="24" t="s">
        <v>477</v>
      </c>
      <c r="O95" s="15">
        <f>VLOOKUP(N95,Select!D:H,5,FALSE)</f>
        <v>0</v>
      </c>
    </row>
    <row r="96" spans="1:15">
      <c r="A96" s="23">
        <v>103700</v>
      </c>
      <c r="B96" s="5" t="s">
        <v>29</v>
      </c>
      <c r="C96" s="6">
        <f>VLOOKUP(B96,Select!A:H,8,FALSE)</f>
        <v>6</v>
      </c>
      <c r="D96" s="5" t="s">
        <v>11</v>
      </c>
      <c r="E96" s="6">
        <f>VLOOKUP(D96,Select!B:H,7,FALSE)</f>
        <v>0</v>
      </c>
      <c r="F96" s="5" t="s">
        <v>3</v>
      </c>
      <c r="G96" s="6">
        <f>VLOOKUP(F96,Select!C:H,6,FALSE)</f>
        <v>0</v>
      </c>
      <c r="H96" s="24" t="s">
        <v>1150</v>
      </c>
      <c r="I96" s="24">
        <v>2</v>
      </c>
      <c r="J96" s="24">
        <v>2</v>
      </c>
      <c r="K96" s="24">
        <v>2</v>
      </c>
      <c r="L96" s="24"/>
      <c r="M96" s="24" t="b">
        <v>0</v>
      </c>
      <c r="N96" s="24" t="s">
        <v>477</v>
      </c>
      <c r="O96" s="15">
        <f>VLOOKUP(N96,Select!D:H,5,FALSE)</f>
        <v>0</v>
      </c>
    </row>
    <row r="97" spans="1:15">
      <c r="A97" s="23">
        <v>103701</v>
      </c>
      <c r="B97" s="1" t="s">
        <v>29</v>
      </c>
      <c r="C97" s="6">
        <f>VLOOKUP(B97,Select!A:H,8,FALSE)</f>
        <v>6</v>
      </c>
      <c r="D97" s="1" t="s">
        <v>10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24" t="s">
        <v>1151</v>
      </c>
      <c r="I97" s="24">
        <v>3</v>
      </c>
      <c r="J97" s="24">
        <v>1</v>
      </c>
      <c r="K97" s="24">
        <v>2</v>
      </c>
      <c r="L97" s="24"/>
      <c r="M97" s="24" t="b">
        <v>0</v>
      </c>
      <c r="N97" s="24" t="s">
        <v>477</v>
      </c>
      <c r="O97" s="15">
        <f>VLOOKUP(N97,Select!D:H,5,FALSE)</f>
        <v>0</v>
      </c>
    </row>
    <row r="98" spans="1:15">
      <c r="A98" s="23">
        <v>103702</v>
      </c>
      <c r="B98" s="5" t="s">
        <v>29</v>
      </c>
      <c r="C98" s="6">
        <f>VLOOKUP(B98,Select!A:H,8,FALSE)</f>
        <v>6</v>
      </c>
      <c r="D98" s="5" t="s">
        <v>10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24" t="s">
        <v>1152</v>
      </c>
      <c r="I98" s="24">
        <v>4</v>
      </c>
      <c r="J98" s="24">
        <v>2</v>
      </c>
      <c r="K98" s="24">
        <v>3</v>
      </c>
      <c r="L98" s="24"/>
      <c r="M98" s="24" t="b">
        <v>0</v>
      </c>
      <c r="N98" s="24" t="s">
        <v>477</v>
      </c>
      <c r="O98" s="15">
        <f>VLOOKUP(N98,Select!D:H,5,FALSE)</f>
        <v>0</v>
      </c>
    </row>
    <row r="99" spans="1:15">
      <c r="A99" s="23">
        <v>103703</v>
      </c>
      <c r="B99" s="1" t="s">
        <v>29</v>
      </c>
      <c r="C99" s="6">
        <f>VLOOKUP(B99,Select!A:H,8,FALSE)</f>
        <v>6</v>
      </c>
      <c r="D99" s="1" t="s">
        <v>10</v>
      </c>
      <c r="E99" s="6">
        <f>VLOOKUP(D99,Select!B:H,7,FALSE)</f>
        <v>0</v>
      </c>
      <c r="F99" s="1" t="s">
        <v>3</v>
      </c>
      <c r="G99" s="6">
        <f>VLOOKUP(F99,Select!C:H,6,FALSE)</f>
        <v>0</v>
      </c>
      <c r="H99" s="24" t="s">
        <v>1153</v>
      </c>
      <c r="I99" s="24">
        <v>7</v>
      </c>
      <c r="J99" s="24">
        <v>4</v>
      </c>
      <c r="K99" s="24">
        <v>3</v>
      </c>
      <c r="L99" s="24"/>
      <c r="M99" s="24" t="b">
        <v>0</v>
      </c>
      <c r="N99" s="24" t="s">
        <v>477</v>
      </c>
      <c r="O99" s="15">
        <f>VLOOKUP(N99,Select!D:H,5,FALSE)</f>
        <v>0</v>
      </c>
    </row>
    <row r="100" spans="1:15">
      <c r="A100" s="23">
        <v>103704</v>
      </c>
      <c r="B100" s="5" t="s">
        <v>29</v>
      </c>
      <c r="C100" s="6">
        <f>VLOOKUP(B100,Select!A:H,8,FALSE)</f>
        <v>6</v>
      </c>
      <c r="D100" s="5" t="s">
        <v>10</v>
      </c>
      <c r="E100" s="6">
        <f>VLOOKUP(D100,Select!B:H,7,FALSE)</f>
        <v>0</v>
      </c>
      <c r="F100" s="5" t="s">
        <v>23</v>
      </c>
      <c r="G100" s="6">
        <f>VLOOKUP(F100,Select!C:H,6,FALSE)</f>
        <v>1</v>
      </c>
      <c r="H100" s="24" t="s">
        <v>1154</v>
      </c>
      <c r="I100" s="24">
        <v>7</v>
      </c>
      <c r="J100" s="24"/>
      <c r="K100" s="24"/>
      <c r="L100" s="24"/>
      <c r="M100" s="24" t="b">
        <v>0</v>
      </c>
      <c r="N100" s="24" t="s">
        <v>477</v>
      </c>
      <c r="O100" s="15">
        <f>VLOOKUP(N100,Select!D:H,5,FALSE)</f>
        <v>0</v>
      </c>
    </row>
    <row r="101" spans="1:15">
      <c r="A101" s="23">
        <v>103705</v>
      </c>
      <c r="B101" s="1" t="s">
        <v>29</v>
      </c>
      <c r="C101" s="6">
        <f>VLOOKUP(B101,Select!A:H,8,FALSE)</f>
        <v>6</v>
      </c>
      <c r="D101" s="1" t="s">
        <v>36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24" t="s">
        <v>1155</v>
      </c>
      <c r="I101" s="24">
        <v>2</v>
      </c>
      <c r="J101" s="24">
        <v>2</v>
      </c>
      <c r="K101" s="24">
        <v>2</v>
      </c>
      <c r="L101" s="24"/>
      <c r="M101" s="24" t="b">
        <v>0</v>
      </c>
      <c r="N101" s="24" t="s">
        <v>477</v>
      </c>
      <c r="O101" s="15">
        <f>VLOOKUP(N101,Select!D:H,5,FALSE)</f>
        <v>0</v>
      </c>
    </row>
    <row r="102" spans="1:15">
      <c r="A102" s="23">
        <v>103706</v>
      </c>
      <c r="B102" s="5" t="s">
        <v>29</v>
      </c>
      <c r="C102" s="6">
        <f>VLOOKUP(B102,Select!A:H,8,FALSE)</f>
        <v>6</v>
      </c>
      <c r="D102" s="5" t="s">
        <v>36</v>
      </c>
      <c r="E102" s="6">
        <f>VLOOKUP(D102,Select!B:H,7,FALSE)</f>
        <v>1</v>
      </c>
      <c r="F102" s="5" t="s">
        <v>3</v>
      </c>
      <c r="G102" s="6">
        <f>VLOOKUP(F102,Select!C:H,6,FALSE)</f>
        <v>0</v>
      </c>
      <c r="H102" s="24" t="s">
        <v>1156</v>
      </c>
      <c r="I102" s="24">
        <v>3</v>
      </c>
      <c r="J102" s="24">
        <v>3</v>
      </c>
      <c r="K102" s="24">
        <v>2</v>
      </c>
      <c r="L102" s="24"/>
      <c r="M102" s="24" t="b">
        <v>0</v>
      </c>
      <c r="N102" s="24" t="s">
        <v>477</v>
      </c>
      <c r="O102" s="15">
        <f>VLOOKUP(N102,Select!D:H,5,FALSE)</f>
        <v>0</v>
      </c>
    </row>
    <row r="103" spans="1:15">
      <c r="A103" s="23">
        <v>103707</v>
      </c>
      <c r="B103" s="1" t="s">
        <v>29</v>
      </c>
      <c r="C103" s="6">
        <f>VLOOKUP(B103,Select!A:H,8,FALSE)</f>
        <v>6</v>
      </c>
      <c r="D103" s="1" t="s">
        <v>36</v>
      </c>
      <c r="E103" s="6">
        <f>VLOOKUP(D103,Select!B:H,7,FALSE)</f>
        <v>1</v>
      </c>
      <c r="F103" s="1" t="s">
        <v>3</v>
      </c>
      <c r="G103" s="6">
        <f>VLOOKUP(F103,Select!C:H,6,FALSE)</f>
        <v>0</v>
      </c>
      <c r="H103" s="24" t="s">
        <v>1157</v>
      </c>
      <c r="I103" s="24">
        <v>5</v>
      </c>
      <c r="J103" s="24">
        <v>4</v>
      </c>
      <c r="K103" s="24">
        <v>5</v>
      </c>
      <c r="L103" s="24"/>
      <c r="M103" s="24" t="b">
        <v>0</v>
      </c>
      <c r="N103" s="24" t="s">
        <v>477</v>
      </c>
      <c r="O103" s="15">
        <f>VLOOKUP(N103,Select!D:H,5,FALSE)</f>
        <v>0</v>
      </c>
    </row>
    <row r="104" spans="1:15">
      <c r="A104" s="23">
        <v>103708</v>
      </c>
      <c r="B104" s="5" t="s">
        <v>29</v>
      </c>
      <c r="C104" s="6">
        <f>VLOOKUP(B104,Select!A:H,8,FALSE)</f>
        <v>6</v>
      </c>
      <c r="D104" s="5" t="s">
        <v>36</v>
      </c>
      <c r="E104" s="6">
        <f>VLOOKUP(D104,Select!B:H,7,FALSE)</f>
        <v>1</v>
      </c>
      <c r="F104" s="5" t="s">
        <v>34</v>
      </c>
      <c r="G104" s="6">
        <f>VLOOKUP(F104,Select!C:H,6,FALSE)</f>
        <v>2</v>
      </c>
      <c r="H104" s="24" t="s">
        <v>1158</v>
      </c>
      <c r="I104" s="24">
        <v>3</v>
      </c>
      <c r="J104" s="24"/>
      <c r="K104" s="24"/>
      <c r="L104" s="24"/>
      <c r="M104" s="24" t="b">
        <v>0</v>
      </c>
      <c r="N104" s="24" t="s">
        <v>477</v>
      </c>
      <c r="O104" s="15">
        <f>VLOOKUP(N104,Select!D:H,5,FALSE)</f>
        <v>0</v>
      </c>
    </row>
    <row r="105" spans="1:15">
      <c r="A105" s="23">
        <v>103709</v>
      </c>
      <c r="B105" s="1" t="s">
        <v>29</v>
      </c>
      <c r="C105" s="6">
        <f>VLOOKUP(B105,Select!A:H,8,FALSE)</f>
        <v>6</v>
      </c>
      <c r="D105" s="1" t="s">
        <v>21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24" t="s">
        <v>1159</v>
      </c>
      <c r="I105" s="24">
        <v>6</v>
      </c>
      <c r="J105" s="24">
        <v>3</v>
      </c>
      <c r="K105" s="24">
        <v>3</v>
      </c>
      <c r="L105" s="24"/>
      <c r="M105" s="24" t="b">
        <v>0</v>
      </c>
      <c r="N105" s="24" t="s">
        <v>477</v>
      </c>
      <c r="O105" s="15">
        <f>VLOOKUP(N105,Select!D:H,5,FALSE)</f>
        <v>0</v>
      </c>
    </row>
    <row r="106" spans="1:15">
      <c r="A106" s="23">
        <v>103710</v>
      </c>
      <c r="B106" s="5" t="s">
        <v>29</v>
      </c>
      <c r="C106" s="6">
        <f>VLOOKUP(B106,Select!A:H,8,FALSE)</f>
        <v>6</v>
      </c>
      <c r="D106" s="5" t="s">
        <v>21</v>
      </c>
      <c r="E106" s="6">
        <f>VLOOKUP(D106,Select!B:H,7,FALSE)</f>
        <v>2</v>
      </c>
      <c r="F106" s="5" t="s">
        <v>3</v>
      </c>
      <c r="G106" s="6">
        <f>VLOOKUP(F106,Select!C:H,6,FALSE)</f>
        <v>0</v>
      </c>
      <c r="H106" s="24" t="s">
        <v>1160</v>
      </c>
      <c r="I106" s="24">
        <v>7</v>
      </c>
      <c r="J106" s="24">
        <v>5</v>
      </c>
      <c r="K106" s="24">
        <v>5</v>
      </c>
      <c r="L106" s="24"/>
      <c r="M106" s="24" t="b">
        <v>0</v>
      </c>
      <c r="N106" s="24" t="s">
        <v>477</v>
      </c>
      <c r="O106" s="15">
        <f>VLOOKUP(N106,Select!D:H,5,FALSE)</f>
        <v>0</v>
      </c>
    </row>
    <row r="107" spans="1:15">
      <c r="A107" s="23">
        <v>103711</v>
      </c>
      <c r="B107" s="1" t="s">
        <v>29</v>
      </c>
      <c r="C107" s="6">
        <f>VLOOKUP(B107,Select!A:H,8,FALSE)</f>
        <v>6</v>
      </c>
      <c r="D107" s="1" t="s">
        <v>21</v>
      </c>
      <c r="E107" s="6">
        <f>VLOOKUP(D107,Select!B:H,7,FALSE)</f>
        <v>2</v>
      </c>
      <c r="F107" s="1" t="s">
        <v>34</v>
      </c>
      <c r="G107" s="6">
        <f>VLOOKUP(F107,Select!C:H,6,FALSE)</f>
        <v>2</v>
      </c>
      <c r="H107" s="24" t="s">
        <v>1161</v>
      </c>
      <c r="I107" s="24">
        <v>4</v>
      </c>
      <c r="J107" s="24"/>
      <c r="K107" s="24"/>
      <c r="L107" s="24"/>
      <c r="M107" s="24" t="b">
        <v>0</v>
      </c>
      <c r="N107" s="24" t="s">
        <v>477</v>
      </c>
      <c r="O107" s="15">
        <f>VLOOKUP(N107,Select!D:H,5,FALSE)</f>
        <v>0</v>
      </c>
    </row>
    <row r="108" spans="1:15">
      <c r="A108" s="27">
        <v>103712</v>
      </c>
      <c r="B108" s="19" t="s">
        <v>29</v>
      </c>
      <c r="C108" s="9">
        <f>VLOOKUP(B108,Select!A:H,8,FALSE)</f>
        <v>6</v>
      </c>
      <c r="D108" s="19" t="s">
        <v>30</v>
      </c>
      <c r="E108" s="9">
        <f>VLOOKUP(D108,Select!B:H,7,FALSE)</f>
        <v>3</v>
      </c>
      <c r="F108" s="19" t="s">
        <v>3</v>
      </c>
      <c r="G108" s="9">
        <f>VLOOKUP(F108,Select!C:H,6,FALSE)</f>
        <v>0</v>
      </c>
      <c r="H108" s="28" t="s">
        <v>1162</v>
      </c>
      <c r="I108" s="28">
        <v>5</v>
      </c>
      <c r="J108" s="28">
        <v>0</v>
      </c>
      <c r="K108" s="28">
        <v>5</v>
      </c>
      <c r="L108" s="28"/>
      <c r="M108" s="28" t="b">
        <v>0</v>
      </c>
      <c r="N108" s="28" t="s">
        <v>477</v>
      </c>
      <c r="O108" s="20">
        <f>VLOOKUP(N108,Select!D:H,5,FALSE)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F700E87-B894-4EC0-A3E2-4CB687B730C4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44FDD4F-E926-4469-BDED-82255F3B0B95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1FC80A27-2E1E-4D01-833E-93CEA322DE3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9F482112-45C2-4C01-AC18-C107DACFCB22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0BA13A2-553A-4347-82F5-2F2A13106EE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7C33877C-D045-4210-8129-F76CA8464B5C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47931528-A4EA-4727-893D-FB3E5197EB4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8DF22C9-DF78-441C-87EA-5A7B6814A65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B1:B108</xm:sqref>
        </x14:conditionalFormatting>
        <x14:conditionalFormatting xmlns:xm="http://schemas.microsoft.com/office/excel/2006/main">
          <x14:cfRule type="containsText" priority="1" operator="containsText" id="{4F113A20-3187-46C6-90C6-E8208DA4C406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63DBF73A-46E8-4098-87FF-C31F5FDA4EEE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B2:B108</xm:sqref>
        </x14:conditionalFormatting>
        <x14:conditionalFormatting xmlns:xm="http://schemas.microsoft.com/office/excel/2006/main">
          <x14:cfRule type="containsText" priority="6" operator="containsText" id="{7E68C973-4260-4A01-BBA0-3BF1CBA9350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3761C86A-83F4-4013-83B2-B0ED8CDF432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4F8A773-88E0-49D7-A9FC-9A4144A9EA3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44AB0CA-DADB-4109-8718-C9AA41778937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D1:D108</xm:sqref>
        </x14:conditionalFormatting>
        <x14:conditionalFormatting xmlns:xm="http://schemas.microsoft.com/office/excel/2006/main">
          <x14:cfRule type="containsText" priority="3" operator="containsText" id="{4131A675-F4FF-4134-A544-FB7AEE074C95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973CDC72-612C-4185-ACE3-1219593F84F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D083BBE-0CE5-41F5-A3AD-DB21EC080582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0A7D4D9-46C4-41D2-A0AF-394980A3F860}">
          <x14:formula1>
            <xm:f>Select!$A:$A</xm:f>
          </x14:formula1>
          <xm:sqref>B2:B108</xm:sqref>
        </x14:dataValidation>
        <x14:dataValidation type="list" allowBlank="1" showInputMessage="1" showErrorMessage="1" xr:uid="{5F76577D-C053-4605-B28D-3BA92D7CE2F4}">
          <x14:formula1>
            <xm:f>Select!$B:$B</xm:f>
          </x14:formula1>
          <xm:sqref>D2:D108</xm:sqref>
        </x14:dataValidation>
        <x14:dataValidation type="list" allowBlank="1" showInputMessage="1" showErrorMessage="1" xr:uid="{B8E5E7D5-0306-46A5-87A6-F058EDBBBCBC}">
          <x14:formula1>
            <xm:f>Select!$C:$C</xm:f>
          </x14:formula1>
          <xm:sqref>F2:F108</xm:sqref>
        </x14:dataValidation>
        <x14:dataValidation type="list" allowBlank="1" showInputMessage="1" showErrorMessage="1" xr:uid="{68AE5F48-A9B4-4563-A55B-4195501AA8C2}">
          <x14:formula1>
            <xm:f>Select!$D:$D</xm:f>
          </x14:formula1>
          <xm:sqref>N2:N108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61552-E04C-4C4A-9911-76A9CBBE1EEA}">
  <dimension ref="A1:O108"/>
  <sheetViews>
    <sheetView topLeftCell="A81" workbookViewId="0">
      <selection activeCell="H2" sqref="H2:H108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6" t="s">
        <v>292</v>
      </c>
      <c r="B1" s="17" t="s">
        <v>293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7</v>
      </c>
      <c r="I1" s="17" t="s">
        <v>8</v>
      </c>
      <c r="J1" s="17" t="s">
        <v>9</v>
      </c>
      <c r="K1" s="17" t="s">
        <v>299</v>
      </c>
      <c r="L1" s="17" t="s">
        <v>300</v>
      </c>
      <c r="M1" s="17" t="s">
        <v>301</v>
      </c>
      <c r="N1" s="17" t="s">
        <v>475</v>
      </c>
      <c r="O1" s="18" t="s">
        <v>476</v>
      </c>
    </row>
    <row r="2" spans="1:15">
      <c r="A2" s="23">
        <v>104000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24" t="s">
        <v>1163</v>
      </c>
      <c r="I2" s="24">
        <v>1</v>
      </c>
      <c r="J2" s="24">
        <v>1</v>
      </c>
      <c r="K2" s="24">
        <v>1</v>
      </c>
      <c r="L2" s="24"/>
      <c r="M2" s="24" t="b">
        <v>0</v>
      </c>
      <c r="N2" s="24" t="s">
        <v>477</v>
      </c>
      <c r="O2" s="15">
        <f>VLOOKUP(N2,Select!D:H,5,FALSE)</f>
        <v>0</v>
      </c>
    </row>
    <row r="3" spans="1:15">
      <c r="A3" s="23">
        <v>104001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24" t="s">
        <v>1164</v>
      </c>
      <c r="I3" s="24">
        <v>2</v>
      </c>
      <c r="J3" s="24">
        <v>2</v>
      </c>
      <c r="K3" s="24">
        <v>1</v>
      </c>
      <c r="L3" s="24"/>
      <c r="M3" s="24" t="b">
        <v>0</v>
      </c>
      <c r="N3" s="24" t="s">
        <v>477</v>
      </c>
      <c r="O3" s="15">
        <f>VLOOKUP(N3,Select!D:H,5,FALSE)</f>
        <v>0</v>
      </c>
    </row>
    <row r="4" spans="1:15">
      <c r="A4" s="23">
        <v>104002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24" t="s">
        <v>1165</v>
      </c>
      <c r="I4" s="24">
        <v>3</v>
      </c>
      <c r="J4" s="24">
        <v>2</v>
      </c>
      <c r="K4" s="24">
        <v>3</v>
      </c>
      <c r="L4" s="24"/>
      <c r="M4" s="24" t="b">
        <v>0</v>
      </c>
      <c r="N4" s="24" t="s">
        <v>477</v>
      </c>
      <c r="O4" s="15">
        <f>VLOOKUP(N4,Select!D:H,5,FALSE)</f>
        <v>0</v>
      </c>
    </row>
    <row r="5" spans="1:15">
      <c r="A5" s="23">
        <v>104003</v>
      </c>
      <c r="B5" s="1" t="s">
        <v>1</v>
      </c>
      <c r="C5" s="6">
        <f>VLOOKUP(B5,Select!A:H,8,FALSE)</f>
        <v>0</v>
      </c>
      <c r="D5" s="1" t="s">
        <v>10</v>
      </c>
      <c r="E5" s="6">
        <f>VLOOKUP(D5,Select!B:H,7,FALSE)</f>
        <v>0</v>
      </c>
      <c r="F5" s="1" t="s">
        <v>34</v>
      </c>
      <c r="G5" s="6">
        <f>VLOOKUP(F5,Select!C:H,6,FALSE)</f>
        <v>2</v>
      </c>
      <c r="H5" s="24" t="s">
        <v>1166</v>
      </c>
      <c r="I5" s="24">
        <v>3</v>
      </c>
      <c r="J5" s="24"/>
      <c r="K5" s="24"/>
      <c r="L5" s="24"/>
      <c r="M5" s="24" t="b">
        <v>0</v>
      </c>
      <c r="N5" s="24" t="s">
        <v>477</v>
      </c>
      <c r="O5" s="15">
        <f>VLOOKUP(N5,Select!D:H,5,FALSE)</f>
        <v>0</v>
      </c>
    </row>
    <row r="6" spans="1:15">
      <c r="A6" s="23">
        <v>104004</v>
      </c>
      <c r="B6" s="5" t="s">
        <v>1</v>
      </c>
      <c r="C6" s="6">
        <f>VLOOKUP(B6,Select!A:H,8,FALSE)</f>
        <v>0</v>
      </c>
      <c r="D6" s="5" t="s">
        <v>36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24" t="s">
        <v>1167</v>
      </c>
      <c r="I6" s="24">
        <v>2</v>
      </c>
      <c r="J6" s="24">
        <v>2</v>
      </c>
      <c r="K6" s="24">
        <v>2</v>
      </c>
      <c r="L6" s="24"/>
      <c r="M6" s="24" t="b">
        <v>0</v>
      </c>
      <c r="N6" s="24" t="s">
        <v>477</v>
      </c>
      <c r="O6" s="15">
        <f>VLOOKUP(N6,Select!D:H,5,FALSE)</f>
        <v>0</v>
      </c>
    </row>
    <row r="7" spans="1:15">
      <c r="A7" s="23">
        <v>104005</v>
      </c>
      <c r="B7" s="1" t="s">
        <v>1</v>
      </c>
      <c r="C7" s="6">
        <f>VLOOKUP(B7,Select!A:H,8,FALSE)</f>
        <v>0</v>
      </c>
      <c r="D7" s="1" t="s">
        <v>36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24" t="s">
        <v>1168</v>
      </c>
      <c r="I7" s="24">
        <v>4</v>
      </c>
      <c r="J7" s="24">
        <v>3</v>
      </c>
      <c r="K7" s="24">
        <v>3</v>
      </c>
      <c r="L7" s="24"/>
      <c r="M7" s="24" t="b">
        <v>0</v>
      </c>
      <c r="N7" s="24" t="s">
        <v>477</v>
      </c>
      <c r="O7" s="15">
        <f>VLOOKUP(N7,Select!D:H,5,FALSE)</f>
        <v>0</v>
      </c>
    </row>
    <row r="8" spans="1:15">
      <c r="A8" s="23">
        <v>104006</v>
      </c>
      <c r="B8" s="5" t="s">
        <v>1</v>
      </c>
      <c r="C8" s="6">
        <f>VLOOKUP(B8,Select!A:H,8,FALSE)</f>
        <v>0</v>
      </c>
      <c r="D8" s="5" t="s">
        <v>36</v>
      </c>
      <c r="E8" s="6">
        <f>VLOOKUP(D8,Select!B:H,7,FALSE)</f>
        <v>1</v>
      </c>
      <c r="F8" s="5" t="s">
        <v>3</v>
      </c>
      <c r="G8" s="6">
        <f>VLOOKUP(F8,Select!C:H,6,FALSE)</f>
        <v>0</v>
      </c>
      <c r="H8" s="24" t="s">
        <v>1169</v>
      </c>
      <c r="I8" s="24">
        <v>5</v>
      </c>
      <c r="J8" s="24">
        <v>2</v>
      </c>
      <c r="K8" s="24">
        <v>1</v>
      </c>
      <c r="L8" s="24"/>
      <c r="M8" s="24" t="b">
        <v>0</v>
      </c>
      <c r="N8" s="24" t="s">
        <v>477</v>
      </c>
      <c r="O8" s="15">
        <f>VLOOKUP(N8,Select!D:H,5,FALSE)</f>
        <v>0</v>
      </c>
    </row>
    <row r="9" spans="1:15">
      <c r="A9" s="23">
        <v>104007</v>
      </c>
      <c r="B9" s="1" t="s">
        <v>1</v>
      </c>
      <c r="C9" s="6">
        <f>VLOOKUP(B9,Select!A:H,8,FALSE)</f>
        <v>0</v>
      </c>
      <c r="D9" s="1" t="s">
        <v>36</v>
      </c>
      <c r="E9" s="6">
        <f>VLOOKUP(D9,Select!B:H,7,FALSE)</f>
        <v>1</v>
      </c>
      <c r="F9" s="1" t="s">
        <v>34</v>
      </c>
      <c r="G9" s="6">
        <f>VLOOKUP(F9,Select!C:H,6,FALSE)</f>
        <v>2</v>
      </c>
      <c r="H9" s="24" t="s">
        <v>1170</v>
      </c>
      <c r="I9" s="24">
        <v>3</v>
      </c>
      <c r="J9" s="24"/>
      <c r="K9" s="24"/>
      <c r="L9" s="24"/>
      <c r="M9" s="24" t="b">
        <v>0</v>
      </c>
      <c r="N9" s="24" t="s">
        <v>477</v>
      </c>
      <c r="O9" s="15">
        <f>VLOOKUP(N9,Select!D:H,5,FALSE)</f>
        <v>0</v>
      </c>
    </row>
    <row r="10" spans="1:15">
      <c r="A10" s="23">
        <v>104008</v>
      </c>
      <c r="B10" s="5" t="s">
        <v>1</v>
      </c>
      <c r="C10" s="6">
        <f>VLOOKUP(B10,Select!A:H,8,FALSE)</f>
        <v>0</v>
      </c>
      <c r="D10" s="5" t="s">
        <v>21</v>
      </c>
      <c r="E10" s="6">
        <f>VLOOKUP(D10,Select!B:H,7,FALSE)</f>
        <v>2</v>
      </c>
      <c r="F10" s="5" t="s">
        <v>3</v>
      </c>
      <c r="G10" s="6">
        <f>VLOOKUP(F10,Select!C:H,6,FALSE)</f>
        <v>0</v>
      </c>
      <c r="H10" s="24" t="s">
        <v>1171</v>
      </c>
      <c r="I10" s="24">
        <v>3</v>
      </c>
      <c r="J10" s="24">
        <v>2</v>
      </c>
      <c r="K10" s="24">
        <v>3</v>
      </c>
      <c r="L10" s="24"/>
      <c r="M10" s="24" t="b">
        <v>0</v>
      </c>
      <c r="N10" s="24" t="s">
        <v>477</v>
      </c>
      <c r="O10" s="15">
        <f>VLOOKUP(N10,Select!D:H,5,FALSE)</f>
        <v>0</v>
      </c>
    </row>
    <row r="11" spans="1:15">
      <c r="A11" s="23">
        <v>104009</v>
      </c>
      <c r="B11" s="1" t="s">
        <v>1</v>
      </c>
      <c r="C11" s="6">
        <f>VLOOKUP(B11,Select!A:H,8,FALSE)</f>
        <v>0</v>
      </c>
      <c r="D11" s="1" t="s">
        <v>21</v>
      </c>
      <c r="E11" s="6">
        <f>VLOOKUP(D11,Select!B:H,7,FALSE)</f>
        <v>2</v>
      </c>
      <c r="F11" s="1" t="s">
        <v>3</v>
      </c>
      <c r="G11" s="6">
        <f>VLOOKUP(F11,Select!C:H,6,FALSE)</f>
        <v>0</v>
      </c>
      <c r="H11" s="24" t="s">
        <v>1172</v>
      </c>
      <c r="I11" s="24">
        <v>7</v>
      </c>
      <c r="J11" s="24">
        <v>4</v>
      </c>
      <c r="K11" s="24">
        <v>5</v>
      </c>
      <c r="L11" s="24"/>
      <c r="M11" s="24" t="b">
        <v>0</v>
      </c>
      <c r="N11" s="24" t="s">
        <v>477</v>
      </c>
      <c r="O11" s="15">
        <f>VLOOKUP(N11,Select!D:H,5,FALSE)</f>
        <v>0</v>
      </c>
    </row>
    <row r="12" spans="1:15">
      <c r="A12" s="23">
        <v>104010</v>
      </c>
      <c r="B12" s="5" t="s">
        <v>1</v>
      </c>
      <c r="C12" s="6">
        <f>VLOOKUP(B12,Select!A:H,8,FALSE)</f>
        <v>0</v>
      </c>
      <c r="D12" s="5" t="s">
        <v>21</v>
      </c>
      <c r="E12" s="6">
        <f>VLOOKUP(D12,Select!B:H,7,FALSE)</f>
        <v>2</v>
      </c>
      <c r="F12" s="5" t="s">
        <v>3</v>
      </c>
      <c r="G12" s="6">
        <f>VLOOKUP(F12,Select!C:H,6,FALSE)</f>
        <v>0</v>
      </c>
      <c r="H12" s="24" t="s">
        <v>1173</v>
      </c>
      <c r="I12" s="24">
        <v>8</v>
      </c>
      <c r="J12" s="24">
        <v>6</v>
      </c>
      <c r="K12" s="24">
        <v>6</v>
      </c>
      <c r="L12" s="24"/>
      <c r="M12" s="24" t="b">
        <v>0</v>
      </c>
      <c r="N12" s="24" t="s">
        <v>477</v>
      </c>
      <c r="O12" s="15">
        <f>VLOOKUP(N12,Select!D:H,5,FALSE)</f>
        <v>0</v>
      </c>
    </row>
    <row r="13" spans="1:15">
      <c r="A13" s="23">
        <v>104011</v>
      </c>
      <c r="B13" s="1" t="s">
        <v>1</v>
      </c>
      <c r="C13" s="6">
        <f>VLOOKUP(B13,Select!A:H,8,FALSE)</f>
        <v>0</v>
      </c>
      <c r="D13" s="1" t="s">
        <v>30</v>
      </c>
      <c r="E13" s="6">
        <f>VLOOKUP(D13,Select!B:H,7,FALSE)</f>
        <v>3</v>
      </c>
      <c r="F13" s="1" t="s">
        <v>3</v>
      </c>
      <c r="G13" s="6">
        <f>VLOOKUP(F13,Select!C:H,6,FALSE)</f>
        <v>0</v>
      </c>
      <c r="H13" s="24" t="s">
        <v>1174</v>
      </c>
      <c r="I13" s="24">
        <v>9</v>
      </c>
      <c r="J13" s="24">
        <v>8</v>
      </c>
      <c r="K13" s="24">
        <v>8</v>
      </c>
      <c r="L13" s="24"/>
      <c r="M13" s="24" t="b">
        <v>0</v>
      </c>
      <c r="N13" s="24" t="s">
        <v>477</v>
      </c>
      <c r="O13" s="15">
        <f>VLOOKUP(N13,Select!D:H,5,FALSE)</f>
        <v>0</v>
      </c>
    </row>
    <row r="14" spans="1:15">
      <c r="A14" s="23">
        <v>104012</v>
      </c>
      <c r="B14" s="5" t="s">
        <v>1</v>
      </c>
      <c r="C14" s="6">
        <f>VLOOKUP(B14,Select!A:H,8,FALSE)</f>
        <v>0</v>
      </c>
      <c r="D14" s="5" t="s">
        <v>30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24" t="s">
        <v>1175</v>
      </c>
      <c r="I14" s="24">
        <v>10</v>
      </c>
      <c r="J14" s="24">
        <v>5</v>
      </c>
      <c r="K14" s="24">
        <v>10</v>
      </c>
      <c r="L14" s="24"/>
      <c r="M14" s="24" t="b">
        <v>0</v>
      </c>
      <c r="N14" s="24" t="s">
        <v>477</v>
      </c>
      <c r="O14" s="15">
        <f>VLOOKUP(N14,Select!D:H,5,FALSE)</f>
        <v>0</v>
      </c>
    </row>
    <row r="15" spans="1:15">
      <c r="A15" s="23">
        <v>104013</v>
      </c>
      <c r="B15" s="1" t="s">
        <v>1</v>
      </c>
      <c r="C15" s="6">
        <f>VLOOKUP(B15,Select!A:H,8,FALSE)</f>
        <v>0</v>
      </c>
      <c r="D15" s="1" t="s">
        <v>21</v>
      </c>
      <c r="E15" s="6">
        <f>VLOOKUP(D15,Select!B:H,7,FALSE)</f>
        <v>2</v>
      </c>
      <c r="F15" s="1" t="s">
        <v>3</v>
      </c>
      <c r="G15" s="6">
        <f>VLOOKUP(F15,Select!C:H,6,FALSE)</f>
        <v>0</v>
      </c>
      <c r="H15" s="24" t="s">
        <v>1176</v>
      </c>
      <c r="I15" s="24">
        <v>4</v>
      </c>
      <c r="J15" s="24">
        <v>5</v>
      </c>
      <c r="K15" s="24">
        <v>5</v>
      </c>
      <c r="L15" s="24"/>
      <c r="M15" s="24" t="b">
        <v>1</v>
      </c>
      <c r="N15" s="24" t="s">
        <v>477</v>
      </c>
      <c r="O15" s="15">
        <f>VLOOKUP(N15,Select!D:H,5,FALSE)</f>
        <v>0</v>
      </c>
    </row>
    <row r="16" spans="1:15">
      <c r="A16" s="23">
        <v>104100</v>
      </c>
      <c r="B16" s="5" t="s">
        <v>24</v>
      </c>
      <c r="C16" s="6">
        <f>VLOOKUP(B16,Select!A:H,8,FALSE)</f>
        <v>1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24" t="s">
        <v>1177</v>
      </c>
      <c r="I16" s="24">
        <v>2</v>
      </c>
      <c r="J16" s="24">
        <v>1</v>
      </c>
      <c r="K16" s="24">
        <v>2</v>
      </c>
      <c r="L16" s="24"/>
      <c r="M16" s="24" t="b">
        <v>0</v>
      </c>
      <c r="N16" s="24" t="s">
        <v>477</v>
      </c>
      <c r="O16" s="15">
        <f>VLOOKUP(N16,Select!D:H,5,FALSE)</f>
        <v>0</v>
      </c>
    </row>
    <row r="17" spans="1:15">
      <c r="A17" s="23">
        <v>104101</v>
      </c>
      <c r="B17" s="1" t="s">
        <v>24</v>
      </c>
      <c r="C17" s="6">
        <f>VLOOKUP(B17,Select!A:H,8,FALSE)</f>
        <v>1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24" t="s">
        <v>1178</v>
      </c>
      <c r="I17" s="24">
        <v>3</v>
      </c>
      <c r="J17" s="24">
        <v>1</v>
      </c>
      <c r="K17" s="24">
        <v>4</v>
      </c>
      <c r="L17" s="24"/>
      <c r="M17" s="24" t="b">
        <v>0</v>
      </c>
      <c r="N17" s="24" t="s">
        <v>477</v>
      </c>
      <c r="O17" s="15">
        <f>VLOOKUP(N17,Select!D:H,5,FALSE)</f>
        <v>0</v>
      </c>
    </row>
    <row r="18" spans="1:15">
      <c r="A18" s="23">
        <v>104102</v>
      </c>
      <c r="B18" s="5" t="s">
        <v>24</v>
      </c>
      <c r="C18" s="6">
        <f>VLOOKUP(B18,Select!A:H,8,FALSE)</f>
        <v>1</v>
      </c>
      <c r="D18" s="5" t="s">
        <v>10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24" t="s">
        <v>1179</v>
      </c>
      <c r="I18" s="24">
        <v>3</v>
      </c>
      <c r="J18" s="24">
        <v>2</v>
      </c>
      <c r="K18" s="24">
        <v>3</v>
      </c>
      <c r="L18" s="24"/>
      <c r="M18" s="24" t="b">
        <v>0</v>
      </c>
      <c r="N18" s="24" t="s">
        <v>477</v>
      </c>
      <c r="O18" s="15">
        <f>VLOOKUP(N18,Select!D:H,5,FALSE)</f>
        <v>0</v>
      </c>
    </row>
    <row r="19" spans="1:15">
      <c r="A19" s="23">
        <v>104103</v>
      </c>
      <c r="B19" s="1" t="s">
        <v>24</v>
      </c>
      <c r="C19" s="6">
        <f>VLOOKUP(B19,Select!A:H,8,FALSE)</f>
        <v>1</v>
      </c>
      <c r="D19" s="1" t="s">
        <v>10</v>
      </c>
      <c r="E19" s="6">
        <f>VLOOKUP(D19,Select!B:H,7,FALSE)</f>
        <v>0</v>
      </c>
      <c r="F19" s="1" t="s">
        <v>23</v>
      </c>
      <c r="G19" s="6">
        <f>VLOOKUP(F19,Select!C:H,6,FALSE)</f>
        <v>1</v>
      </c>
      <c r="H19" s="24" t="s">
        <v>1180</v>
      </c>
      <c r="I19" s="24">
        <v>3</v>
      </c>
      <c r="J19" s="24"/>
      <c r="K19" s="24"/>
      <c r="L19" s="24"/>
      <c r="M19" s="24" t="b">
        <v>0</v>
      </c>
      <c r="N19" s="24" t="s">
        <v>477</v>
      </c>
      <c r="O19" s="15">
        <f>VLOOKUP(N19,Select!D:H,5,FALSE)</f>
        <v>0</v>
      </c>
    </row>
    <row r="20" spans="1:15">
      <c r="A20" s="23">
        <v>104104</v>
      </c>
      <c r="B20" s="5" t="s">
        <v>24</v>
      </c>
      <c r="C20" s="6">
        <f>VLOOKUP(B20,Select!A:H,8,FALSE)</f>
        <v>1</v>
      </c>
      <c r="D20" s="5" t="s">
        <v>36</v>
      </c>
      <c r="E20" s="6">
        <f>VLOOKUP(D20,Select!B:H,7,FALSE)</f>
        <v>1</v>
      </c>
      <c r="F20" s="5" t="s">
        <v>3</v>
      </c>
      <c r="G20" s="6">
        <f>VLOOKUP(F20,Select!C:H,6,FALSE)</f>
        <v>0</v>
      </c>
      <c r="H20" s="24" t="s">
        <v>1181</v>
      </c>
      <c r="I20" s="24">
        <v>2</v>
      </c>
      <c r="J20" s="24">
        <v>2</v>
      </c>
      <c r="K20" s="24">
        <v>2</v>
      </c>
      <c r="L20" s="24"/>
      <c r="M20" s="24" t="b">
        <v>0</v>
      </c>
      <c r="N20" s="24" t="s">
        <v>477</v>
      </c>
      <c r="O20" s="15">
        <f>VLOOKUP(N20,Select!D:H,5,FALSE)</f>
        <v>0</v>
      </c>
    </row>
    <row r="21" spans="1:15">
      <c r="A21" s="23">
        <v>104105</v>
      </c>
      <c r="B21" s="1" t="s">
        <v>24</v>
      </c>
      <c r="C21" s="6">
        <f>VLOOKUP(B21,Select!A:H,8,FALSE)</f>
        <v>1</v>
      </c>
      <c r="D21" s="1" t="s">
        <v>36</v>
      </c>
      <c r="E21" s="6">
        <f>VLOOKUP(D21,Select!B:H,7,FALSE)</f>
        <v>1</v>
      </c>
      <c r="F21" s="1" t="s">
        <v>3</v>
      </c>
      <c r="G21" s="6">
        <f>VLOOKUP(F21,Select!C:H,6,FALSE)</f>
        <v>0</v>
      </c>
      <c r="H21" s="24" t="s">
        <v>1182</v>
      </c>
      <c r="I21" s="24">
        <v>4</v>
      </c>
      <c r="J21" s="24">
        <v>2</v>
      </c>
      <c r="K21" s="24">
        <v>5</v>
      </c>
      <c r="L21" s="24"/>
      <c r="M21" s="24" t="b">
        <v>0</v>
      </c>
      <c r="N21" s="24" t="s">
        <v>477</v>
      </c>
      <c r="O21" s="15">
        <f>VLOOKUP(N21,Select!D:H,5,FALSE)</f>
        <v>0</v>
      </c>
    </row>
    <row r="22" spans="1:15">
      <c r="A22" s="23">
        <v>104106</v>
      </c>
      <c r="B22" s="5" t="s">
        <v>24</v>
      </c>
      <c r="C22" s="6">
        <f>VLOOKUP(B22,Select!A:H,8,FALSE)</f>
        <v>1</v>
      </c>
      <c r="D22" s="5" t="s">
        <v>36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24" t="s">
        <v>1183</v>
      </c>
      <c r="I22" s="24">
        <v>7</v>
      </c>
      <c r="J22" s="24">
        <v>6</v>
      </c>
      <c r="K22" s="24">
        <v>5</v>
      </c>
      <c r="L22" s="24"/>
      <c r="M22" s="24" t="b">
        <v>0</v>
      </c>
      <c r="N22" s="24" t="s">
        <v>477</v>
      </c>
      <c r="O22" s="15">
        <f>VLOOKUP(N22,Select!D:H,5,FALSE)</f>
        <v>0</v>
      </c>
    </row>
    <row r="23" spans="1:15">
      <c r="A23" s="23">
        <v>104107</v>
      </c>
      <c r="B23" s="1" t="s">
        <v>24</v>
      </c>
      <c r="C23" s="6">
        <f>VLOOKUP(B23,Select!A:H,8,FALSE)</f>
        <v>1</v>
      </c>
      <c r="D23" s="1" t="s">
        <v>36</v>
      </c>
      <c r="E23" s="6">
        <f>VLOOKUP(D23,Select!B:H,7,FALSE)</f>
        <v>1</v>
      </c>
      <c r="F23" s="1" t="s">
        <v>34</v>
      </c>
      <c r="G23" s="6">
        <f>VLOOKUP(F23,Select!C:H,6,FALSE)</f>
        <v>2</v>
      </c>
      <c r="H23" s="24" t="s">
        <v>1184</v>
      </c>
      <c r="I23" s="24">
        <v>3</v>
      </c>
      <c r="J23" s="24"/>
      <c r="K23" s="24"/>
      <c r="L23" s="24"/>
      <c r="M23" s="24" t="b">
        <v>0</v>
      </c>
      <c r="N23" s="24" t="s">
        <v>477</v>
      </c>
      <c r="O23" s="15">
        <f>VLOOKUP(N23,Select!D:H,5,FALSE)</f>
        <v>0</v>
      </c>
    </row>
    <row r="24" spans="1:15">
      <c r="A24" s="23">
        <v>104108</v>
      </c>
      <c r="B24" s="5" t="s">
        <v>24</v>
      </c>
      <c r="C24" s="6">
        <f>VLOOKUP(B24,Select!A:H,8,FALSE)</f>
        <v>1</v>
      </c>
      <c r="D24" s="5" t="s">
        <v>21</v>
      </c>
      <c r="E24" s="6">
        <f>VLOOKUP(D24,Select!B:H,7,FALSE)</f>
        <v>2</v>
      </c>
      <c r="F24" s="5" t="s">
        <v>4</v>
      </c>
      <c r="G24" s="6">
        <f>VLOOKUP(F24,Select!C:H,6,FALSE)</f>
        <v>0</v>
      </c>
      <c r="H24" s="24" t="s">
        <v>1185</v>
      </c>
      <c r="I24" s="24">
        <v>5</v>
      </c>
      <c r="J24" s="24">
        <v>4</v>
      </c>
      <c r="K24" s="24">
        <v>5</v>
      </c>
      <c r="L24" s="24"/>
      <c r="M24" s="24" t="b">
        <v>0</v>
      </c>
      <c r="N24" s="24" t="s">
        <v>477</v>
      </c>
      <c r="O24" s="15">
        <f>VLOOKUP(N24,Select!D:H,5,FALSE)</f>
        <v>0</v>
      </c>
    </row>
    <row r="25" spans="1:15">
      <c r="A25" s="23">
        <v>104109</v>
      </c>
      <c r="B25" s="1" t="s">
        <v>24</v>
      </c>
      <c r="C25" s="6">
        <f>VLOOKUP(B25,Select!A:H,8,FALSE)</f>
        <v>1</v>
      </c>
      <c r="D25" s="1" t="s">
        <v>21</v>
      </c>
      <c r="E25" s="6">
        <f>VLOOKUP(D25,Select!B:H,7,FALSE)</f>
        <v>2</v>
      </c>
      <c r="F25" s="1" t="s">
        <v>3</v>
      </c>
      <c r="G25" s="6">
        <f>VLOOKUP(F25,Select!C:H,6,FALSE)</f>
        <v>0</v>
      </c>
      <c r="H25" s="24" t="s">
        <v>1186</v>
      </c>
      <c r="I25" s="24">
        <v>6</v>
      </c>
      <c r="J25" s="24">
        <v>4</v>
      </c>
      <c r="K25" s="24">
        <v>6</v>
      </c>
      <c r="L25" s="24"/>
      <c r="M25" s="24" t="b">
        <v>0</v>
      </c>
      <c r="N25" s="24" t="s">
        <v>477</v>
      </c>
      <c r="O25" s="15">
        <f>VLOOKUP(N25,Select!D:H,5,FALSE)</f>
        <v>0</v>
      </c>
    </row>
    <row r="26" spans="1:15">
      <c r="A26" s="23">
        <v>104110</v>
      </c>
      <c r="B26" s="5" t="s">
        <v>24</v>
      </c>
      <c r="C26" s="6">
        <f>VLOOKUP(B26,Select!A:H,8,FALSE)</f>
        <v>1</v>
      </c>
      <c r="D26" s="5" t="s">
        <v>21</v>
      </c>
      <c r="E26" s="6">
        <f>VLOOKUP(D26,Select!B:H,7,FALSE)</f>
        <v>2</v>
      </c>
      <c r="F26" s="5" t="s">
        <v>34</v>
      </c>
      <c r="G26" s="6">
        <f>VLOOKUP(F26,Select!C:H,6,FALSE)</f>
        <v>2</v>
      </c>
      <c r="H26" s="24" t="s">
        <v>1187</v>
      </c>
      <c r="I26" s="24">
        <v>4</v>
      </c>
      <c r="J26" s="24"/>
      <c r="K26" s="24"/>
      <c r="L26" s="24"/>
      <c r="M26" s="24" t="b">
        <v>0</v>
      </c>
      <c r="N26" s="24" t="s">
        <v>477</v>
      </c>
      <c r="O26" s="15">
        <f>VLOOKUP(N26,Select!D:H,5,FALSE)</f>
        <v>0</v>
      </c>
    </row>
    <row r="27" spans="1:15">
      <c r="A27" s="23">
        <v>104111</v>
      </c>
      <c r="B27" s="1" t="s">
        <v>24</v>
      </c>
      <c r="C27" s="6">
        <f>VLOOKUP(B27,Select!A:H,8,FALSE)</f>
        <v>1</v>
      </c>
      <c r="D27" s="1" t="s">
        <v>30</v>
      </c>
      <c r="E27" s="6">
        <f>VLOOKUP(D27,Select!B:H,7,FALSE)</f>
        <v>3</v>
      </c>
      <c r="F27" s="1" t="s">
        <v>3</v>
      </c>
      <c r="G27" s="6">
        <f>VLOOKUP(F27,Select!C:H,6,FALSE)</f>
        <v>0</v>
      </c>
      <c r="H27" s="24" t="s">
        <v>1188</v>
      </c>
      <c r="I27" s="24">
        <v>7</v>
      </c>
      <c r="J27" s="24">
        <v>6</v>
      </c>
      <c r="K27" s="24">
        <v>6</v>
      </c>
      <c r="L27" s="24"/>
      <c r="M27" s="24" t="b">
        <v>0</v>
      </c>
      <c r="N27" s="24" t="s">
        <v>477</v>
      </c>
      <c r="O27" s="15">
        <f>VLOOKUP(N27,Select!D:H,5,FALSE)</f>
        <v>0</v>
      </c>
    </row>
    <row r="28" spans="1:15">
      <c r="A28" s="23">
        <v>104112</v>
      </c>
      <c r="B28" s="5" t="s">
        <v>24</v>
      </c>
      <c r="C28" s="6">
        <f>VLOOKUP(B28,Select!A:H,8,FALSE)</f>
        <v>1</v>
      </c>
      <c r="D28" s="5" t="s">
        <v>30</v>
      </c>
      <c r="E28" s="6">
        <f>VLOOKUP(D28,Select!B:H,7,FALSE)</f>
        <v>3</v>
      </c>
      <c r="F28" s="5" t="s">
        <v>3</v>
      </c>
      <c r="G28" s="6">
        <f>VLOOKUP(F28,Select!C:H,6,FALSE)</f>
        <v>0</v>
      </c>
      <c r="H28" s="24" t="s">
        <v>1189</v>
      </c>
      <c r="I28" s="24">
        <v>8</v>
      </c>
      <c r="J28" s="24">
        <v>8</v>
      </c>
      <c r="K28" s="24">
        <v>8</v>
      </c>
      <c r="L28" s="24"/>
      <c r="M28" s="24" t="b">
        <v>0</v>
      </c>
      <c r="N28" s="24" t="s">
        <v>477</v>
      </c>
      <c r="O28" s="15">
        <f>VLOOKUP(N28,Select!D:H,5,FALSE)</f>
        <v>0</v>
      </c>
    </row>
    <row r="29" spans="1:15">
      <c r="A29" s="23">
        <v>104200</v>
      </c>
      <c r="B29" s="1" t="s">
        <v>25</v>
      </c>
      <c r="C29" s="6">
        <f>VLOOKUP(B29,Select!A:H,8,FALSE)</f>
        <v>2</v>
      </c>
      <c r="D29" s="1" t="s">
        <v>10</v>
      </c>
      <c r="E29" s="6">
        <f>VLOOKUP(D29,Select!B:H,7,FALSE)</f>
        <v>0</v>
      </c>
      <c r="F29" s="1" t="s">
        <v>3</v>
      </c>
      <c r="G29" s="6">
        <f>VLOOKUP(F29,Select!C:H,6,FALSE)</f>
        <v>0</v>
      </c>
      <c r="H29" s="24" t="s">
        <v>1190</v>
      </c>
      <c r="I29" s="24">
        <v>2</v>
      </c>
      <c r="J29" s="24">
        <v>2</v>
      </c>
      <c r="K29" s="24">
        <v>2</v>
      </c>
      <c r="L29" s="24"/>
      <c r="M29" s="24" t="b">
        <v>0</v>
      </c>
      <c r="N29" s="24" t="s">
        <v>460</v>
      </c>
      <c r="O29" s="15">
        <f>VLOOKUP(N29,Select!D:H,5,FALSE)</f>
        <v>1</v>
      </c>
    </row>
    <row r="30" spans="1:15">
      <c r="A30" s="23">
        <v>104201</v>
      </c>
      <c r="B30" s="5" t="s">
        <v>25</v>
      </c>
      <c r="C30" s="6">
        <f>VLOOKUP(B30,Select!A:H,8,FALSE)</f>
        <v>2</v>
      </c>
      <c r="D30" s="5" t="s">
        <v>10</v>
      </c>
      <c r="E30" s="6">
        <f>VLOOKUP(D30,Select!B:H,7,FALSE)</f>
        <v>0</v>
      </c>
      <c r="F30" s="5" t="s">
        <v>3</v>
      </c>
      <c r="G30" s="6">
        <f>VLOOKUP(F30,Select!C:H,6,FALSE)</f>
        <v>0</v>
      </c>
      <c r="H30" s="24" t="s">
        <v>1191</v>
      </c>
      <c r="I30" s="24">
        <v>3</v>
      </c>
      <c r="J30" s="24">
        <v>1</v>
      </c>
      <c r="K30" s="24">
        <v>2</v>
      </c>
      <c r="L30" s="24"/>
      <c r="M30" s="24" t="b">
        <v>0</v>
      </c>
      <c r="N30" s="24" t="s">
        <v>460</v>
      </c>
      <c r="O30" s="15">
        <f>VLOOKUP(N30,Select!D:H,5,FALSE)</f>
        <v>1</v>
      </c>
    </row>
    <row r="31" spans="1:15">
      <c r="A31" s="23">
        <v>104202</v>
      </c>
      <c r="B31" s="1" t="s">
        <v>25</v>
      </c>
      <c r="C31" s="6">
        <f>VLOOKUP(B31,Select!A:H,8,FALSE)</f>
        <v>2</v>
      </c>
      <c r="D31" s="1" t="s">
        <v>10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24" t="s">
        <v>1192</v>
      </c>
      <c r="I31" s="24">
        <v>5</v>
      </c>
      <c r="J31" s="24">
        <v>3</v>
      </c>
      <c r="K31" s="24">
        <v>4</v>
      </c>
      <c r="L31" s="24"/>
      <c r="M31" s="24" t="b">
        <v>0</v>
      </c>
      <c r="N31" s="24" t="s">
        <v>460</v>
      </c>
      <c r="O31" s="15">
        <f>VLOOKUP(N31,Select!D:H,5,FALSE)</f>
        <v>1</v>
      </c>
    </row>
    <row r="32" spans="1:15">
      <c r="A32" s="23">
        <v>104203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34</v>
      </c>
      <c r="G32" s="6">
        <f>VLOOKUP(F32,Select!C:H,6,FALSE)</f>
        <v>2</v>
      </c>
      <c r="H32" s="24" t="s">
        <v>1193</v>
      </c>
      <c r="I32" s="24">
        <v>1</v>
      </c>
      <c r="J32" s="24"/>
      <c r="K32" s="24"/>
      <c r="L32" s="24"/>
      <c r="M32" s="24" t="b">
        <v>0</v>
      </c>
      <c r="N32" s="24" t="s">
        <v>477</v>
      </c>
      <c r="O32" s="15">
        <f>VLOOKUP(N32,Select!D:H,5,FALSE)</f>
        <v>0</v>
      </c>
    </row>
    <row r="33" spans="1:15">
      <c r="A33" s="23">
        <v>104204</v>
      </c>
      <c r="B33" s="1" t="s">
        <v>25</v>
      </c>
      <c r="C33" s="6">
        <f>VLOOKUP(B33,Select!A:H,8,FALSE)</f>
        <v>2</v>
      </c>
      <c r="D33" s="1" t="s">
        <v>36</v>
      </c>
      <c r="E33" s="6">
        <f>VLOOKUP(D33,Select!B:H,7,FALSE)</f>
        <v>1</v>
      </c>
      <c r="F33" s="1" t="s">
        <v>3</v>
      </c>
      <c r="G33" s="6">
        <f>VLOOKUP(F33,Select!C:H,6,FALSE)</f>
        <v>0</v>
      </c>
      <c r="H33" s="24" t="s">
        <v>1194</v>
      </c>
      <c r="I33" s="24">
        <v>4</v>
      </c>
      <c r="J33" s="24">
        <v>2</v>
      </c>
      <c r="K33" s="24">
        <v>3</v>
      </c>
      <c r="L33" s="24"/>
      <c r="M33" s="24" t="b">
        <v>0</v>
      </c>
      <c r="N33" s="24" t="s">
        <v>460</v>
      </c>
      <c r="O33" s="15">
        <f>VLOOKUP(N33,Select!D:H,5,FALSE)</f>
        <v>1</v>
      </c>
    </row>
    <row r="34" spans="1:15">
      <c r="A34" s="23">
        <v>104205</v>
      </c>
      <c r="B34" s="5" t="s">
        <v>25</v>
      </c>
      <c r="C34" s="6">
        <f>VLOOKUP(B34,Select!A:H,8,FALSE)</f>
        <v>2</v>
      </c>
      <c r="D34" s="5" t="s">
        <v>36</v>
      </c>
      <c r="E34" s="6">
        <f>VLOOKUP(D34,Select!B:H,7,FALSE)</f>
        <v>1</v>
      </c>
      <c r="F34" s="5" t="s">
        <v>3</v>
      </c>
      <c r="G34" s="6">
        <f>VLOOKUP(F34,Select!C:H,6,FALSE)</f>
        <v>0</v>
      </c>
      <c r="H34" s="24" t="s">
        <v>1195</v>
      </c>
      <c r="I34" s="24">
        <v>5</v>
      </c>
      <c r="J34" s="24">
        <v>2</v>
      </c>
      <c r="K34" s="24">
        <v>3</v>
      </c>
      <c r="L34" s="24"/>
      <c r="M34" s="24" t="b">
        <v>0</v>
      </c>
      <c r="N34" s="24" t="s">
        <v>656</v>
      </c>
      <c r="O34" s="15">
        <f>VLOOKUP(N34,Select!D:H,5,FALSE)</f>
        <v>16</v>
      </c>
    </row>
    <row r="35" spans="1:15">
      <c r="A35" s="23">
        <v>104206</v>
      </c>
      <c r="B35" s="1" t="s">
        <v>25</v>
      </c>
      <c r="C35" s="6">
        <f>VLOOKUP(B35,Select!A:H,8,FALSE)</f>
        <v>2</v>
      </c>
      <c r="D35" s="1" t="s">
        <v>36</v>
      </c>
      <c r="E35" s="6">
        <f>VLOOKUP(D35,Select!B:H,7,FALSE)</f>
        <v>1</v>
      </c>
      <c r="F35" s="1" t="s">
        <v>3</v>
      </c>
      <c r="G35" s="6">
        <f>VLOOKUP(F35,Select!C:H,6,FALSE)</f>
        <v>0</v>
      </c>
      <c r="H35" s="24" t="s">
        <v>1196</v>
      </c>
      <c r="I35" s="24">
        <v>6</v>
      </c>
      <c r="J35" s="24">
        <v>5</v>
      </c>
      <c r="K35" s="24">
        <v>6</v>
      </c>
      <c r="L35" s="24"/>
      <c r="M35" s="24" t="b">
        <v>0</v>
      </c>
      <c r="N35" s="24" t="s">
        <v>656</v>
      </c>
      <c r="O35" s="15">
        <f>VLOOKUP(N35,Select!D:H,5,FALSE)</f>
        <v>16</v>
      </c>
    </row>
    <row r="36" spans="1:15">
      <c r="A36" s="23">
        <v>104207</v>
      </c>
      <c r="B36" s="5" t="s">
        <v>25</v>
      </c>
      <c r="C36" s="6">
        <f>VLOOKUP(B36,Select!A:H,8,FALSE)</f>
        <v>2</v>
      </c>
      <c r="D36" s="5" t="s">
        <v>36</v>
      </c>
      <c r="E36" s="6">
        <f>VLOOKUP(D36,Select!B:H,7,FALSE)</f>
        <v>1</v>
      </c>
      <c r="F36" s="5" t="s">
        <v>34</v>
      </c>
      <c r="G36" s="6">
        <f>VLOOKUP(F36,Select!C:H,6,FALSE)</f>
        <v>2</v>
      </c>
      <c r="H36" s="24" t="s">
        <v>1197</v>
      </c>
      <c r="I36" s="24">
        <v>3</v>
      </c>
      <c r="J36" s="24"/>
      <c r="K36" s="24"/>
      <c r="L36" s="24"/>
      <c r="M36" s="24" t="b">
        <v>0</v>
      </c>
      <c r="N36" s="24" t="s">
        <v>477</v>
      </c>
      <c r="O36" s="15">
        <f>VLOOKUP(N36,Select!D:H,5,FALSE)</f>
        <v>0</v>
      </c>
    </row>
    <row r="37" spans="1:15">
      <c r="A37" s="23">
        <v>104208</v>
      </c>
      <c r="B37" s="1" t="s">
        <v>25</v>
      </c>
      <c r="C37" s="6">
        <f>VLOOKUP(B37,Select!A:H,8,FALSE)</f>
        <v>2</v>
      </c>
      <c r="D37" s="1" t="s">
        <v>21</v>
      </c>
      <c r="E37" s="6">
        <f>VLOOKUP(D37,Select!B:H,7,FALSE)</f>
        <v>2</v>
      </c>
      <c r="F37" s="1" t="s">
        <v>3</v>
      </c>
      <c r="G37" s="6">
        <f>VLOOKUP(F37,Select!C:H,6,FALSE)</f>
        <v>0</v>
      </c>
      <c r="H37" s="24" t="s">
        <v>1198</v>
      </c>
      <c r="I37" s="24">
        <v>3</v>
      </c>
      <c r="J37" s="24">
        <v>2</v>
      </c>
      <c r="K37" s="24">
        <v>3</v>
      </c>
      <c r="L37" s="24"/>
      <c r="M37" s="24" t="b">
        <v>0</v>
      </c>
      <c r="N37" s="24" t="s">
        <v>656</v>
      </c>
      <c r="O37" s="15">
        <f>VLOOKUP(N37,Select!D:H,5,FALSE)</f>
        <v>16</v>
      </c>
    </row>
    <row r="38" spans="1:15">
      <c r="A38" s="23">
        <v>104209</v>
      </c>
      <c r="B38" s="5" t="s">
        <v>25</v>
      </c>
      <c r="C38" s="6">
        <f>VLOOKUP(B38,Select!A:H,8,FALSE)</f>
        <v>2</v>
      </c>
      <c r="D38" s="5" t="s">
        <v>21</v>
      </c>
      <c r="E38" s="6">
        <f>VLOOKUP(D38,Select!B:H,7,FALSE)</f>
        <v>2</v>
      </c>
      <c r="F38" s="5" t="s">
        <v>3</v>
      </c>
      <c r="G38" s="6">
        <f>VLOOKUP(F38,Select!C:H,6,FALSE)</f>
        <v>0</v>
      </c>
      <c r="H38" s="24" t="s">
        <v>1199</v>
      </c>
      <c r="I38" s="24">
        <v>8</v>
      </c>
      <c r="J38" s="24">
        <v>5</v>
      </c>
      <c r="K38" s="24">
        <v>5</v>
      </c>
      <c r="L38" s="24"/>
      <c r="M38" s="24" t="b">
        <v>0</v>
      </c>
      <c r="N38" s="24" t="s">
        <v>656</v>
      </c>
      <c r="O38" s="15">
        <f>VLOOKUP(N38,Select!D:H,5,FALSE)</f>
        <v>16</v>
      </c>
    </row>
    <row r="39" spans="1:15">
      <c r="A39" s="23">
        <v>104210</v>
      </c>
      <c r="B39" s="1" t="s">
        <v>25</v>
      </c>
      <c r="C39" s="6">
        <f>VLOOKUP(B39,Select!A:H,8,FALSE)</f>
        <v>2</v>
      </c>
      <c r="D39" s="1" t="s">
        <v>21</v>
      </c>
      <c r="E39" s="6">
        <f>VLOOKUP(D39,Select!B:H,7,FALSE)</f>
        <v>2</v>
      </c>
      <c r="F39" s="1" t="s">
        <v>34</v>
      </c>
      <c r="G39" s="6">
        <f>VLOOKUP(F39,Select!C:H,6,FALSE)</f>
        <v>2</v>
      </c>
      <c r="H39" s="24" t="s">
        <v>1200</v>
      </c>
      <c r="I39" s="24">
        <v>5</v>
      </c>
      <c r="J39" s="24"/>
      <c r="K39" s="24"/>
      <c r="L39" s="24"/>
      <c r="M39" s="24" t="b">
        <v>0</v>
      </c>
      <c r="N39" s="24" t="s">
        <v>477</v>
      </c>
      <c r="O39" s="15">
        <f>VLOOKUP(N39,Select!D:H,5,FALSE)</f>
        <v>0</v>
      </c>
    </row>
    <row r="40" spans="1:15">
      <c r="A40" s="23">
        <v>104211</v>
      </c>
      <c r="B40" s="5" t="s">
        <v>25</v>
      </c>
      <c r="C40" s="6">
        <f>VLOOKUP(B40,Select!A:H,8,FALSE)</f>
        <v>2</v>
      </c>
      <c r="D40" s="5" t="s">
        <v>30</v>
      </c>
      <c r="E40" s="6">
        <f>VLOOKUP(D40,Select!B:H,7,FALSE)</f>
        <v>3</v>
      </c>
      <c r="F40" s="5" t="s">
        <v>3</v>
      </c>
      <c r="G40" s="6">
        <f>VLOOKUP(F40,Select!C:H,6,FALSE)</f>
        <v>0</v>
      </c>
      <c r="H40" s="24" t="s">
        <v>1201</v>
      </c>
      <c r="I40" s="24">
        <v>4</v>
      </c>
      <c r="J40" s="24">
        <v>3</v>
      </c>
      <c r="K40" s="24">
        <v>4</v>
      </c>
      <c r="L40" s="24"/>
      <c r="M40" s="24" t="b">
        <v>0</v>
      </c>
      <c r="N40" s="24" t="s">
        <v>460</v>
      </c>
      <c r="O40" s="15">
        <f>VLOOKUP(N40,Select!D:H,5,FALSE)</f>
        <v>1</v>
      </c>
    </row>
    <row r="41" spans="1:15">
      <c r="A41" s="23">
        <v>104212</v>
      </c>
      <c r="B41" s="1" t="s">
        <v>25</v>
      </c>
      <c r="C41" s="6">
        <f>VLOOKUP(B41,Select!A:H,8,FALSE)</f>
        <v>2</v>
      </c>
      <c r="D41" s="1" t="s">
        <v>30</v>
      </c>
      <c r="E41" s="6">
        <f>VLOOKUP(D41,Select!B:H,7,FALSE)</f>
        <v>3</v>
      </c>
      <c r="F41" s="1" t="s">
        <v>3</v>
      </c>
      <c r="G41" s="6">
        <f>VLOOKUP(F41,Select!C:H,6,FALSE)</f>
        <v>0</v>
      </c>
      <c r="H41" s="24" t="s">
        <v>1202</v>
      </c>
      <c r="I41" s="24">
        <v>7</v>
      </c>
      <c r="J41" s="24">
        <v>4</v>
      </c>
      <c r="K41" s="26">
        <v>5</v>
      </c>
      <c r="L41" s="24"/>
      <c r="M41" s="24" t="b">
        <v>0</v>
      </c>
      <c r="N41" s="24" t="s">
        <v>656</v>
      </c>
      <c r="O41" s="15">
        <f>VLOOKUP(N41,Select!D:H,5,FALSE)</f>
        <v>16</v>
      </c>
    </row>
    <row r="42" spans="1:15">
      <c r="A42" s="23">
        <v>104213</v>
      </c>
      <c r="B42" s="5" t="s">
        <v>25</v>
      </c>
      <c r="C42" s="6">
        <f>VLOOKUP(B42,Select!A:H,8,FALSE)</f>
        <v>2</v>
      </c>
      <c r="D42" s="5" t="s">
        <v>30</v>
      </c>
      <c r="E42" s="6">
        <f>VLOOKUP(D42,Select!B:H,7,FALSE)</f>
        <v>3</v>
      </c>
      <c r="F42" s="5" t="s">
        <v>34</v>
      </c>
      <c r="G42" s="6">
        <f>VLOOKUP(F42,Select!C:H,6,FALSE)</f>
        <v>2</v>
      </c>
      <c r="H42" s="24" t="s">
        <v>1203</v>
      </c>
      <c r="I42" s="24">
        <v>7</v>
      </c>
      <c r="J42" s="24"/>
      <c r="K42" s="24"/>
      <c r="L42" s="24"/>
      <c r="M42" s="24" t="b">
        <v>1</v>
      </c>
      <c r="N42" s="24" t="s">
        <v>656</v>
      </c>
      <c r="O42" s="15">
        <f>VLOOKUP(N42,Select!D:H,5,FALSE)</f>
        <v>16</v>
      </c>
    </row>
    <row r="43" spans="1:15">
      <c r="A43" s="23">
        <v>104300</v>
      </c>
      <c r="B43" s="1" t="s">
        <v>22</v>
      </c>
      <c r="C43" s="6">
        <f>VLOOKUP(B43,Select!A:H,8,FALSE)</f>
        <v>3</v>
      </c>
      <c r="D43" s="1" t="s">
        <v>10</v>
      </c>
      <c r="E43" s="6">
        <f>VLOOKUP(D43,Select!B:H,7,FALSE)</f>
        <v>0</v>
      </c>
      <c r="F43" s="1" t="s">
        <v>3</v>
      </c>
      <c r="G43" s="6">
        <f>VLOOKUP(F43,Select!C:H,6,FALSE)</f>
        <v>0</v>
      </c>
      <c r="H43" s="24" t="s">
        <v>1204</v>
      </c>
      <c r="I43" s="24">
        <v>3</v>
      </c>
      <c r="J43" s="24">
        <v>2</v>
      </c>
      <c r="K43" s="26">
        <v>3</v>
      </c>
      <c r="L43" s="24"/>
      <c r="M43" s="24" t="b">
        <v>0</v>
      </c>
      <c r="N43" s="24" t="s">
        <v>477</v>
      </c>
      <c r="O43" s="15">
        <f>VLOOKUP(N43,Select!D:H,5,FALSE)</f>
        <v>0</v>
      </c>
    </row>
    <row r="44" spans="1:15">
      <c r="A44" s="23">
        <v>104301</v>
      </c>
      <c r="B44" s="5" t="s">
        <v>22</v>
      </c>
      <c r="C44" s="6">
        <f>VLOOKUP(B44,Select!A:H,8,FALSE)</f>
        <v>3</v>
      </c>
      <c r="D44" s="5" t="s">
        <v>10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24" t="s">
        <v>1205</v>
      </c>
      <c r="I44" s="24">
        <v>3</v>
      </c>
      <c r="J44" s="24">
        <v>3</v>
      </c>
      <c r="K44" s="24">
        <v>2</v>
      </c>
      <c r="L44" s="24"/>
      <c r="M44" s="24" t="b">
        <v>0</v>
      </c>
      <c r="N44" s="24" t="s">
        <v>477</v>
      </c>
      <c r="O44" s="15">
        <f>VLOOKUP(N44,Select!D:H,5,FALSE)</f>
        <v>0</v>
      </c>
    </row>
    <row r="45" spans="1:15">
      <c r="A45" s="23">
        <v>104302</v>
      </c>
      <c r="B45" s="1" t="s">
        <v>22</v>
      </c>
      <c r="C45" s="6">
        <f>VLOOKUP(B45,Select!A:H,8,FALSE)</f>
        <v>3</v>
      </c>
      <c r="D45" s="1" t="s">
        <v>10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24" t="s">
        <v>1206</v>
      </c>
      <c r="I45" s="24">
        <v>4</v>
      </c>
      <c r="J45" s="24">
        <v>4</v>
      </c>
      <c r="K45" s="24">
        <v>3</v>
      </c>
      <c r="L45" s="24"/>
      <c r="M45" s="24" t="b">
        <v>0</v>
      </c>
      <c r="N45" s="24" t="s">
        <v>477</v>
      </c>
      <c r="O45" s="15">
        <f>VLOOKUP(N45,Select!D:H,5,FALSE)</f>
        <v>0</v>
      </c>
    </row>
    <row r="46" spans="1:15">
      <c r="A46" s="23">
        <v>104303</v>
      </c>
      <c r="B46" s="5" t="s">
        <v>22</v>
      </c>
      <c r="C46" s="6">
        <f>VLOOKUP(B46,Select!A:H,8,FALSE)</f>
        <v>3</v>
      </c>
      <c r="D46" s="5" t="s">
        <v>10</v>
      </c>
      <c r="E46" s="6">
        <f>VLOOKUP(D46,Select!B:H,7,FALSE)</f>
        <v>0</v>
      </c>
      <c r="F46" s="5" t="s">
        <v>34</v>
      </c>
      <c r="G46" s="6">
        <f>VLOOKUP(F46,Select!C:H,6,FALSE)</f>
        <v>2</v>
      </c>
      <c r="H46" s="24" t="s">
        <v>1207</v>
      </c>
      <c r="I46" s="24">
        <v>2</v>
      </c>
      <c r="J46" s="24"/>
      <c r="K46" s="24"/>
      <c r="L46" s="24"/>
      <c r="M46" s="24" t="b">
        <v>0</v>
      </c>
      <c r="N46" s="24" t="s">
        <v>477</v>
      </c>
      <c r="O46" s="15">
        <f>VLOOKUP(N46,Select!D:H,5,FALSE)</f>
        <v>0</v>
      </c>
    </row>
    <row r="47" spans="1:15">
      <c r="A47" s="23">
        <v>104304</v>
      </c>
      <c r="B47" s="1" t="s">
        <v>22</v>
      </c>
      <c r="C47" s="6">
        <f>VLOOKUP(B47,Select!A:H,8,FALSE)</f>
        <v>3</v>
      </c>
      <c r="D47" s="1" t="s">
        <v>36</v>
      </c>
      <c r="E47" s="6">
        <f>VLOOKUP(D47,Select!B:H,7,FALSE)</f>
        <v>1</v>
      </c>
      <c r="F47" s="1" t="s">
        <v>3</v>
      </c>
      <c r="G47" s="6">
        <f>VLOOKUP(F47,Select!C:H,6,FALSE)</f>
        <v>0</v>
      </c>
      <c r="H47" s="24" t="s">
        <v>1208</v>
      </c>
      <c r="I47" s="24">
        <v>2</v>
      </c>
      <c r="J47" s="24">
        <v>1</v>
      </c>
      <c r="K47" s="24">
        <v>1</v>
      </c>
      <c r="L47" s="24"/>
      <c r="M47" s="24" t="b">
        <v>0</v>
      </c>
      <c r="N47" s="24" t="s">
        <v>482</v>
      </c>
      <c r="O47" s="15">
        <f>VLOOKUP(N47,Select!D:H,5,FALSE)</f>
        <v>7</v>
      </c>
    </row>
    <row r="48" spans="1:15">
      <c r="A48" s="23">
        <v>104305</v>
      </c>
      <c r="B48" s="5" t="s">
        <v>22</v>
      </c>
      <c r="C48" s="6">
        <f>VLOOKUP(B48,Select!A:H,8,FALSE)</f>
        <v>3</v>
      </c>
      <c r="D48" s="5" t="s">
        <v>36</v>
      </c>
      <c r="E48" s="6">
        <f>VLOOKUP(D48,Select!B:H,7,FALSE)</f>
        <v>1</v>
      </c>
      <c r="F48" s="5" t="s">
        <v>3</v>
      </c>
      <c r="G48" s="6">
        <f>VLOOKUP(F48,Select!C:H,6,FALSE)</f>
        <v>0</v>
      </c>
      <c r="H48" s="24" t="s">
        <v>1209</v>
      </c>
      <c r="I48" s="24">
        <v>2</v>
      </c>
      <c r="J48" s="24">
        <v>2</v>
      </c>
      <c r="K48" s="24">
        <v>2</v>
      </c>
      <c r="L48" s="24"/>
      <c r="M48" s="24" t="b">
        <v>0</v>
      </c>
      <c r="N48" s="24" t="s">
        <v>477</v>
      </c>
      <c r="O48" s="15">
        <f>VLOOKUP(N48,Select!D:H,5,FALSE)</f>
        <v>0</v>
      </c>
    </row>
    <row r="49" spans="1:15">
      <c r="A49" s="23">
        <v>104306</v>
      </c>
      <c r="B49" s="1" t="s">
        <v>22</v>
      </c>
      <c r="C49" s="6">
        <f>VLOOKUP(B49,Select!A:H,8,FALSE)</f>
        <v>3</v>
      </c>
      <c r="D49" s="1" t="s">
        <v>36</v>
      </c>
      <c r="E49" s="6">
        <f>VLOOKUP(D49,Select!B:H,7,FALSE)</f>
        <v>1</v>
      </c>
      <c r="F49" s="1" t="s">
        <v>3</v>
      </c>
      <c r="G49" s="6">
        <f>VLOOKUP(F49,Select!C:H,6,FALSE)</f>
        <v>0</v>
      </c>
      <c r="H49" s="24" t="s">
        <v>1210</v>
      </c>
      <c r="I49" s="24">
        <v>9</v>
      </c>
      <c r="J49" s="24">
        <v>4</v>
      </c>
      <c r="K49" s="24">
        <v>4</v>
      </c>
      <c r="L49" s="24"/>
      <c r="M49" s="24" t="b">
        <v>0</v>
      </c>
      <c r="N49" s="24" t="s">
        <v>477</v>
      </c>
      <c r="O49" s="15">
        <f>VLOOKUP(N49,Select!D:H,5,FALSE)</f>
        <v>0</v>
      </c>
    </row>
    <row r="50" spans="1:15">
      <c r="A50" s="23">
        <v>104307</v>
      </c>
      <c r="B50" s="5" t="s">
        <v>22</v>
      </c>
      <c r="C50" s="6">
        <f>VLOOKUP(B50,Select!A:H,8,FALSE)</f>
        <v>3</v>
      </c>
      <c r="D50" s="5" t="s">
        <v>36</v>
      </c>
      <c r="E50" s="6">
        <f>VLOOKUP(D50,Select!B:H,7,FALSE)</f>
        <v>1</v>
      </c>
      <c r="F50" s="5" t="s">
        <v>23</v>
      </c>
      <c r="G50" s="6">
        <f>VLOOKUP(F50,Select!C:H,6,FALSE)</f>
        <v>1</v>
      </c>
      <c r="H50" s="24" t="s">
        <v>1211</v>
      </c>
      <c r="I50" s="24">
        <v>7</v>
      </c>
      <c r="J50" s="24"/>
      <c r="K50" s="24"/>
      <c r="L50" s="24"/>
      <c r="M50" s="24" t="b">
        <v>0</v>
      </c>
      <c r="N50" s="24" t="s">
        <v>477</v>
      </c>
      <c r="O50" s="15">
        <f>VLOOKUP(N50,Select!D:H,5,FALSE)</f>
        <v>0</v>
      </c>
    </row>
    <row r="51" spans="1:15">
      <c r="A51" s="23">
        <v>104308</v>
      </c>
      <c r="B51" s="1" t="s">
        <v>22</v>
      </c>
      <c r="C51" s="6">
        <f>VLOOKUP(B51,Select!A:H,8,FALSE)</f>
        <v>3</v>
      </c>
      <c r="D51" s="1" t="s">
        <v>21</v>
      </c>
      <c r="E51" s="6">
        <f>VLOOKUP(D51,Select!B:H,7,FALSE)</f>
        <v>2</v>
      </c>
      <c r="F51" s="1" t="s">
        <v>3</v>
      </c>
      <c r="G51" s="6">
        <f>VLOOKUP(F51,Select!C:H,6,FALSE)</f>
        <v>0</v>
      </c>
      <c r="H51" s="24" t="s">
        <v>1212</v>
      </c>
      <c r="I51" s="24">
        <v>5</v>
      </c>
      <c r="J51" s="24">
        <v>4</v>
      </c>
      <c r="K51" s="24">
        <v>4</v>
      </c>
      <c r="L51" s="24"/>
      <c r="M51" s="24" t="b">
        <v>0</v>
      </c>
      <c r="N51" s="24" t="s">
        <v>477</v>
      </c>
      <c r="O51" s="15">
        <f>VLOOKUP(N51,Select!D:H,5,FALSE)</f>
        <v>0</v>
      </c>
    </row>
    <row r="52" spans="1:15">
      <c r="A52" s="23">
        <v>104309</v>
      </c>
      <c r="B52" s="5" t="s">
        <v>22</v>
      </c>
      <c r="C52" s="6">
        <f>VLOOKUP(B52,Select!A:H,8,FALSE)</f>
        <v>3</v>
      </c>
      <c r="D52" s="5" t="s">
        <v>21</v>
      </c>
      <c r="E52" s="6">
        <f>VLOOKUP(D52,Select!B:H,7,FALSE)</f>
        <v>2</v>
      </c>
      <c r="F52" s="5" t="s">
        <v>3</v>
      </c>
      <c r="G52" s="6">
        <f>VLOOKUP(F52,Select!C:H,6,FALSE)</f>
        <v>0</v>
      </c>
      <c r="H52" s="24" t="s">
        <v>1213</v>
      </c>
      <c r="I52" s="24">
        <v>8</v>
      </c>
      <c r="J52" s="24">
        <v>4</v>
      </c>
      <c r="K52" s="24">
        <v>4</v>
      </c>
      <c r="L52" s="24"/>
      <c r="M52" s="24" t="b">
        <v>0</v>
      </c>
      <c r="N52" s="24" t="s">
        <v>477</v>
      </c>
      <c r="O52" s="15">
        <f>VLOOKUP(N52,Select!D:H,5,FALSE)</f>
        <v>0</v>
      </c>
    </row>
    <row r="53" spans="1:15">
      <c r="A53" s="23">
        <v>104310</v>
      </c>
      <c r="B53" s="1" t="s">
        <v>22</v>
      </c>
      <c r="C53" s="6">
        <f>VLOOKUP(B53,Select!A:H,8,FALSE)</f>
        <v>3</v>
      </c>
      <c r="D53" s="1" t="s">
        <v>21</v>
      </c>
      <c r="E53" s="6">
        <f>VLOOKUP(D53,Select!B:H,7,FALSE)</f>
        <v>2</v>
      </c>
      <c r="F53" s="1" t="s">
        <v>23</v>
      </c>
      <c r="G53" s="6">
        <f>VLOOKUP(F53,Select!C:H,6,FALSE)</f>
        <v>1</v>
      </c>
      <c r="H53" s="24" t="s">
        <v>1214</v>
      </c>
      <c r="I53" s="24">
        <v>6</v>
      </c>
      <c r="J53" s="24"/>
      <c r="K53" s="24"/>
      <c r="L53" s="24"/>
      <c r="M53" s="24" t="b">
        <v>0</v>
      </c>
      <c r="N53" s="24" t="s">
        <v>477</v>
      </c>
      <c r="O53" s="15">
        <f>VLOOKUP(N53,Select!D:H,5,FALSE)</f>
        <v>0</v>
      </c>
    </row>
    <row r="54" spans="1:15">
      <c r="A54" s="23">
        <v>104311</v>
      </c>
      <c r="B54" s="5" t="s">
        <v>22</v>
      </c>
      <c r="C54" s="6">
        <f>VLOOKUP(B54,Select!A:H,8,FALSE)</f>
        <v>3</v>
      </c>
      <c r="D54" s="5" t="s">
        <v>30</v>
      </c>
      <c r="E54" s="6">
        <f>VLOOKUP(D54,Select!B:H,7,FALSE)</f>
        <v>3</v>
      </c>
      <c r="F54" s="5" t="s">
        <v>3</v>
      </c>
      <c r="G54" s="6">
        <f>VLOOKUP(F54,Select!C:H,6,FALSE)</f>
        <v>0</v>
      </c>
      <c r="H54" s="24" t="s">
        <v>1215</v>
      </c>
      <c r="I54" s="24">
        <v>6</v>
      </c>
      <c r="J54" s="24">
        <v>6</v>
      </c>
      <c r="K54" s="24">
        <v>6</v>
      </c>
      <c r="L54" s="24"/>
      <c r="M54" s="24" t="b">
        <v>0</v>
      </c>
      <c r="N54" s="24" t="s">
        <v>477</v>
      </c>
      <c r="O54" s="15">
        <f>VLOOKUP(N54,Select!D:H,5,FALSE)</f>
        <v>0</v>
      </c>
    </row>
    <row r="55" spans="1:15">
      <c r="A55" s="23">
        <v>104312</v>
      </c>
      <c r="B55" s="1" t="s">
        <v>22</v>
      </c>
      <c r="C55" s="6">
        <f>VLOOKUP(B55,Select!A:H,8,FALSE)</f>
        <v>3</v>
      </c>
      <c r="D55" s="1" t="s">
        <v>30</v>
      </c>
      <c r="E55" s="6">
        <f>VLOOKUP(D55,Select!B:H,7,FALSE)</f>
        <v>3</v>
      </c>
      <c r="F55" s="1" t="s">
        <v>3</v>
      </c>
      <c r="G55" s="6">
        <f>VLOOKUP(F55,Select!C:H,6,FALSE)</f>
        <v>0</v>
      </c>
      <c r="H55" s="24" t="s">
        <v>1216</v>
      </c>
      <c r="I55" s="24">
        <v>9</v>
      </c>
      <c r="J55" s="24">
        <v>4</v>
      </c>
      <c r="K55" s="24">
        <v>4</v>
      </c>
      <c r="L55" s="24"/>
      <c r="M55" s="24" t="b">
        <v>0</v>
      </c>
      <c r="N55" s="24" t="s">
        <v>477</v>
      </c>
      <c r="O55" s="15">
        <f>VLOOKUP(N55,Select!D:H,5,FALSE)</f>
        <v>0</v>
      </c>
    </row>
    <row r="56" spans="1:15">
      <c r="A56" s="23">
        <v>104313</v>
      </c>
      <c r="B56" s="5" t="s">
        <v>22</v>
      </c>
      <c r="C56" s="6">
        <f>VLOOKUP(B56,Select!A:H,8,FALSE)</f>
        <v>3</v>
      </c>
      <c r="D56" s="5" t="s">
        <v>10</v>
      </c>
      <c r="E56" s="6">
        <f>VLOOKUP(D56,Select!B:H,7,FALSE)</f>
        <v>0</v>
      </c>
      <c r="F56" s="5" t="s">
        <v>3</v>
      </c>
      <c r="G56" s="6">
        <f>VLOOKUP(F56,Select!C:H,6,FALSE)</f>
        <v>0</v>
      </c>
      <c r="H56" s="24" t="s">
        <v>1217</v>
      </c>
      <c r="I56" s="24">
        <v>1</v>
      </c>
      <c r="J56" s="24">
        <v>1</v>
      </c>
      <c r="K56" s="24">
        <v>1</v>
      </c>
      <c r="L56" s="24"/>
      <c r="M56" s="24" t="b">
        <v>1</v>
      </c>
      <c r="N56" s="24" t="s">
        <v>477</v>
      </c>
      <c r="O56" s="15">
        <f>VLOOKUP(N56,Select!D:H,5,FALSE)</f>
        <v>0</v>
      </c>
    </row>
    <row r="57" spans="1:15">
      <c r="A57" s="23">
        <v>104400</v>
      </c>
      <c r="B57" s="1" t="s">
        <v>26</v>
      </c>
      <c r="C57" s="6">
        <f>VLOOKUP(B57,Select!A:H,8,FALSE)</f>
        <v>4</v>
      </c>
      <c r="D57" s="1" t="s">
        <v>10</v>
      </c>
      <c r="E57" s="6">
        <f>VLOOKUP(D57,Select!B:H,7,FALSE)</f>
        <v>0</v>
      </c>
      <c r="F57" s="1" t="s">
        <v>3</v>
      </c>
      <c r="G57" s="6">
        <f>VLOOKUP(F57,Select!C:H,6,FALSE)</f>
        <v>0</v>
      </c>
      <c r="H57" s="24" t="s">
        <v>1218</v>
      </c>
      <c r="I57" s="24">
        <v>3</v>
      </c>
      <c r="J57" s="24">
        <v>1</v>
      </c>
      <c r="K57" s="26">
        <v>1</v>
      </c>
      <c r="L57" s="24"/>
      <c r="M57" s="24" t="b">
        <v>0</v>
      </c>
      <c r="N57" s="24" t="s">
        <v>477</v>
      </c>
      <c r="O57" s="15">
        <f>VLOOKUP(N57,Select!D:H,5,FALSE)</f>
        <v>0</v>
      </c>
    </row>
    <row r="58" spans="1:15">
      <c r="A58" s="23">
        <v>104401</v>
      </c>
      <c r="B58" s="5" t="s">
        <v>26</v>
      </c>
      <c r="C58" s="6">
        <f>VLOOKUP(B58,Select!A:H,8,FALSE)</f>
        <v>4</v>
      </c>
      <c r="D58" s="5" t="s">
        <v>10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24" t="s">
        <v>1219</v>
      </c>
      <c r="I58" s="24">
        <v>3</v>
      </c>
      <c r="J58" s="24">
        <v>2</v>
      </c>
      <c r="K58" s="24">
        <v>2</v>
      </c>
      <c r="L58" s="24"/>
      <c r="M58" s="24" t="b">
        <v>0</v>
      </c>
      <c r="N58" s="24" t="s">
        <v>477</v>
      </c>
      <c r="O58" s="15">
        <f>VLOOKUP(N58,Select!D:H,5,FALSE)</f>
        <v>0</v>
      </c>
    </row>
    <row r="59" spans="1:15">
      <c r="A59" s="23">
        <v>104402</v>
      </c>
      <c r="B59" s="1" t="s">
        <v>26</v>
      </c>
      <c r="C59" s="6">
        <f>VLOOKUP(B59,Select!A:H,8,FALSE)</f>
        <v>4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24" t="s">
        <v>1220</v>
      </c>
      <c r="I59" s="24">
        <v>5</v>
      </c>
      <c r="J59" s="24">
        <v>3</v>
      </c>
      <c r="K59" s="24">
        <v>5</v>
      </c>
      <c r="L59" s="24"/>
      <c r="M59" s="24" t="b">
        <v>0</v>
      </c>
      <c r="N59" s="24" t="s">
        <v>477</v>
      </c>
      <c r="O59" s="15">
        <f>VLOOKUP(N59,Select!D:H,5,FALSE)</f>
        <v>0</v>
      </c>
    </row>
    <row r="60" spans="1:15">
      <c r="A60" s="23">
        <v>104403</v>
      </c>
      <c r="B60" s="5" t="s">
        <v>26</v>
      </c>
      <c r="C60" s="6">
        <f>VLOOKUP(B60,Select!A:H,8,FALSE)</f>
        <v>4</v>
      </c>
      <c r="D60" s="5" t="s">
        <v>10</v>
      </c>
      <c r="E60" s="6">
        <f>VLOOKUP(D60,Select!B:H,7,FALSE)</f>
        <v>0</v>
      </c>
      <c r="F60" s="5" t="s">
        <v>34</v>
      </c>
      <c r="G60" s="6">
        <f>VLOOKUP(F60,Select!C:H,6,FALSE)</f>
        <v>2</v>
      </c>
      <c r="H60" s="24" t="s">
        <v>1221</v>
      </c>
      <c r="I60" s="24">
        <v>1</v>
      </c>
      <c r="J60" s="24"/>
      <c r="K60" s="24"/>
      <c r="L60" s="24"/>
      <c r="M60" s="24" t="b">
        <v>0</v>
      </c>
      <c r="N60" s="24" t="s">
        <v>477</v>
      </c>
      <c r="O60" s="15">
        <f>VLOOKUP(N60,Select!D:H,5,FALSE)</f>
        <v>0</v>
      </c>
    </row>
    <row r="61" spans="1:15">
      <c r="A61" s="23">
        <v>104404</v>
      </c>
      <c r="B61" s="1" t="s">
        <v>26</v>
      </c>
      <c r="C61" s="6">
        <f>VLOOKUP(B61,Select!A:H,8,FALSE)</f>
        <v>4</v>
      </c>
      <c r="D61" s="1" t="s">
        <v>36</v>
      </c>
      <c r="E61" s="6">
        <f>VLOOKUP(D61,Select!B:H,7,FALSE)</f>
        <v>1</v>
      </c>
      <c r="F61" s="1" t="s">
        <v>3</v>
      </c>
      <c r="G61" s="6">
        <f>VLOOKUP(F61,Select!C:H,6,FALSE)</f>
        <v>0</v>
      </c>
      <c r="H61" s="24" t="s">
        <v>1222</v>
      </c>
      <c r="I61" s="24">
        <v>2</v>
      </c>
      <c r="J61" s="24">
        <v>2</v>
      </c>
      <c r="K61" s="24">
        <v>2</v>
      </c>
      <c r="L61" s="24"/>
      <c r="M61" s="24" t="b">
        <v>0</v>
      </c>
      <c r="N61" s="24" t="s">
        <v>477</v>
      </c>
      <c r="O61" s="15">
        <f>VLOOKUP(N61,Select!D:H,5,FALSE)</f>
        <v>0</v>
      </c>
    </row>
    <row r="62" spans="1:15">
      <c r="A62" s="23">
        <v>104405</v>
      </c>
      <c r="B62" s="5" t="s">
        <v>26</v>
      </c>
      <c r="C62" s="6">
        <f>VLOOKUP(B62,Select!A:H,8,FALSE)</f>
        <v>4</v>
      </c>
      <c r="D62" s="5" t="s">
        <v>36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24" t="s">
        <v>1223</v>
      </c>
      <c r="I62" s="24">
        <v>5</v>
      </c>
      <c r="J62" s="24">
        <v>4</v>
      </c>
      <c r="K62" s="24">
        <v>5</v>
      </c>
      <c r="L62" s="24"/>
      <c r="M62" s="24" t="b">
        <v>0</v>
      </c>
      <c r="N62" s="24" t="s">
        <v>477</v>
      </c>
      <c r="O62" s="15">
        <f>VLOOKUP(N62,Select!D:H,5,FALSE)</f>
        <v>0</v>
      </c>
    </row>
    <row r="63" spans="1:15">
      <c r="A63" s="23">
        <v>104406</v>
      </c>
      <c r="B63" s="1" t="s">
        <v>26</v>
      </c>
      <c r="C63" s="6">
        <f>VLOOKUP(B63,Select!A:H,8,FALSE)</f>
        <v>4</v>
      </c>
      <c r="D63" s="1" t="s">
        <v>36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24" t="s">
        <v>1224</v>
      </c>
      <c r="I63" s="24">
        <v>5</v>
      </c>
      <c r="J63" s="24">
        <v>4</v>
      </c>
      <c r="K63" s="24">
        <v>4</v>
      </c>
      <c r="L63" s="24"/>
      <c r="M63" s="24" t="b">
        <v>0</v>
      </c>
      <c r="N63" s="24" t="s">
        <v>477</v>
      </c>
      <c r="O63" s="15">
        <f>VLOOKUP(N63,Select!D:H,5,FALSE)</f>
        <v>0</v>
      </c>
    </row>
    <row r="64" spans="1:15">
      <c r="A64" s="23">
        <v>104407</v>
      </c>
      <c r="B64" s="5" t="s">
        <v>26</v>
      </c>
      <c r="C64" s="6">
        <f>VLOOKUP(B64,Select!A:H,8,FALSE)</f>
        <v>4</v>
      </c>
      <c r="D64" s="5" t="s">
        <v>36</v>
      </c>
      <c r="E64" s="6">
        <f>VLOOKUP(D64,Select!B:H,7,FALSE)</f>
        <v>1</v>
      </c>
      <c r="F64" s="5" t="s">
        <v>23</v>
      </c>
      <c r="G64" s="6">
        <f>VLOOKUP(F64,Select!C:H,6,FALSE)</f>
        <v>1</v>
      </c>
      <c r="H64" s="24" t="s">
        <v>1225</v>
      </c>
      <c r="I64" s="24">
        <v>6</v>
      </c>
      <c r="J64" s="24"/>
      <c r="K64" s="24"/>
      <c r="L64" s="24"/>
      <c r="M64" s="24" t="b">
        <v>0</v>
      </c>
      <c r="N64" s="24" t="s">
        <v>477</v>
      </c>
      <c r="O64" s="15">
        <f>VLOOKUP(N64,Select!D:H,5,FALSE)</f>
        <v>0</v>
      </c>
    </row>
    <row r="65" spans="1:15">
      <c r="A65" s="23">
        <v>104408</v>
      </c>
      <c r="B65" s="1" t="s">
        <v>26</v>
      </c>
      <c r="C65" s="6">
        <f>VLOOKUP(B65,Select!A:H,8,FALSE)</f>
        <v>4</v>
      </c>
      <c r="D65" s="1" t="s">
        <v>21</v>
      </c>
      <c r="E65" s="6">
        <f>VLOOKUP(D65,Select!B:H,7,FALSE)</f>
        <v>2</v>
      </c>
      <c r="F65" s="1" t="s">
        <v>3</v>
      </c>
      <c r="G65" s="6">
        <f>VLOOKUP(F65,Select!C:H,6,FALSE)</f>
        <v>0</v>
      </c>
      <c r="H65" s="24" t="s">
        <v>1226</v>
      </c>
      <c r="I65" s="24">
        <v>4</v>
      </c>
      <c r="J65" s="24">
        <v>2</v>
      </c>
      <c r="K65" s="24">
        <v>5</v>
      </c>
      <c r="L65" s="24"/>
      <c r="M65" s="24" t="b">
        <v>0</v>
      </c>
      <c r="N65" s="24" t="s">
        <v>477</v>
      </c>
      <c r="O65" s="15">
        <f>VLOOKUP(N65,Select!D:H,5,FALSE)</f>
        <v>0</v>
      </c>
    </row>
    <row r="66" spans="1:15">
      <c r="A66" s="23">
        <v>104409</v>
      </c>
      <c r="B66" s="5" t="s">
        <v>26</v>
      </c>
      <c r="C66" s="6">
        <f>VLOOKUP(B66,Select!A:H,8,FALSE)</f>
        <v>4</v>
      </c>
      <c r="D66" s="5" t="s">
        <v>21</v>
      </c>
      <c r="E66" s="6">
        <f>VLOOKUP(D66,Select!B:H,7,FALSE)</f>
        <v>2</v>
      </c>
      <c r="F66" s="5" t="s">
        <v>3</v>
      </c>
      <c r="G66" s="6">
        <f>VLOOKUP(F66,Select!C:H,6,FALSE)</f>
        <v>0</v>
      </c>
      <c r="H66" s="24" t="s">
        <v>1227</v>
      </c>
      <c r="I66" s="24">
        <v>6</v>
      </c>
      <c r="J66" s="24">
        <v>1</v>
      </c>
      <c r="K66" s="24">
        <v>5</v>
      </c>
      <c r="L66" s="24"/>
      <c r="M66" s="24" t="b">
        <v>0</v>
      </c>
      <c r="N66" s="24" t="s">
        <v>477</v>
      </c>
      <c r="O66" s="15">
        <f>VLOOKUP(N66,Select!D:H,5,FALSE)</f>
        <v>0</v>
      </c>
    </row>
    <row r="67" spans="1:15">
      <c r="A67" s="23">
        <v>104410</v>
      </c>
      <c r="B67" s="1" t="s">
        <v>26</v>
      </c>
      <c r="C67" s="6">
        <f>VLOOKUP(B67,Select!A:H,8,FALSE)</f>
        <v>4</v>
      </c>
      <c r="D67" s="1" t="s">
        <v>21</v>
      </c>
      <c r="E67" s="6">
        <f>VLOOKUP(D67,Select!B:H,7,FALSE)</f>
        <v>2</v>
      </c>
      <c r="F67" s="1" t="s">
        <v>23</v>
      </c>
      <c r="G67" s="6">
        <f>VLOOKUP(F67,Select!C:H,6,FALSE)</f>
        <v>1</v>
      </c>
      <c r="H67" s="24" t="s">
        <v>1228</v>
      </c>
      <c r="I67" s="24">
        <v>4</v>
      </c>
      <c r="J67" s="24"/>
      <c r="K67" s="24"/>
      <c r="L67" s="24"/>
      <c r="M67" s="24" t="b">
        <v>0</v>
      </c>
      <c r="N67" s="24" t="s">
        <v>477</v>
      </c>
      <c r="O67" s="15">
        <f>VLOOKUP(N67,Select!D:H,5,FALSE)</f>
        <v>0</v>
      </c>
    </row>
    <row r="68" spans="1:15">
      <c r="A68" s="23">
        <v>104411</v>
      </c>
      <c r="B68" s="5" t="s">
        <v>26</v>
      </c>
      <c r="C68" s="6">
        <f>VLOOKUP(B68,Select!A:H,8,FALSE)</f>
        <v>4</v>
      </c>
      <c r="D68" s="5" t="s">
        <v>30</v>
      </c>
      <c r="E68" s="6">
        <f>VLOOKUP(D68,Select!B:H,7,FALSE)</f>
        <v>3</v>
      </c>
      <c r="F68" s="5" t="s">
        <v>3</v>
      </c>
      <c r="G68" s="6">
        <f>VLOOKUP(F68,Select!C:H,6,FALSE)</f>
        <v>0</v>
      </c>
      <c r="H68" s="24" t="s">
        <v>1229</v>
      </c>
      <c r="I68" s="24">
        <v>5</v>
      </c>
      <c r="J68" s="24">
        <v>4</v>
      </c>
      <c r="K68" s="24">
        <v>5</v>
      </c>
      <c r="L68" s="24"/>
      <c r="M68" s="24" t="b">
        <v>0</v>
      </c>
      <c r="N68" s="24" t="s">
        <v>477</v>
      </c>
      <c r="O68" s="15">
        <f>VLOOKUP(N68,Select!D:H,5,FALSE)</f>
        <v>0</v>
      </c>
    </row>
    <row r="69" spans="1:15">
      <c r="A69" s="23">
        <v>104412</v>
      </c>
      <c r="B69" s="1" t="s">
        <v>26</v>
      </c>
      <c r="C69" s="6">
        <f>VLOOKUP(B69,Select!A:H,8,FALSE)</f>
        <v>4</v>
      </c>
      <c r="D69" s="1" t="s">
        <v>30</v>
      </c>
      <c r="E69" s="6">
        <f>VLOOKUP(D69,Select!B:H,7,FALSE)</f>
        <v>3</v>
      </c>
      <c r="F69" s="1" t="s">
        <v>3</v>
      </c>
      <c r="G69" s="6">
        <f>VLOOKUP(F69,Select!C:H,6,FALSE)</f>
        <v>0</v>
      </c>
      <c r="H69" s="24" t="s">
        <v>1230</v>
      </c>
      <c r="I69" s="24">
        <v>8</v>
      </c>
      <c r="J69" s="24">
        <v>8</v>
      </c>
      <c r="K69" s="24">
        <v>4</v>
      </c>
      <c r="L69" s="24"/>
      <c r="M69" s="24" t="b">
        <v>0</v>
      </c>
      <c r="N69" s="24" t="s">
        <v>477</v>
      </c>
      <c r="O69" s="15">
        <f>VLOOKUP(N69,Select!D:H,5,FALSE)</f>
        <v>0</v>
      </c>
    </row>
    <row r="70" spans="1:15">
      <c r="A70" s="23">
        <v>104500</v>
      </c>
      <c r="B70" s="5" t="s">
        <v>534</v>
      </c>
      <c r="C70" s="6">
        <f>VLOOKUP(B70,Select!A:H,8,FALSE)</f>
        <v>8</v>
      </c>
      <c r="D70" s="5" t="s">
        <v>10</v>
      </c>
      <c r="E70" s="6">
        <f>VLOOKUP(D70,Select!B:H,7,FALSE)</f>
        <v>0</v>
      </c>
      <c r="F70" s="5" t="s">
        <v>3</v>
      </c>
      <c r="G70" s="6">
        <f>VLOOKUP(F70,Select!C:H,6,FALSE)</f>
        <v>0</v>
      </c>
      <c r="H70" s="24" t="s">
        <v>1231</v>
      </c>
      <c r="I70" s="24">
        <v>1</v>
      </c>
      <c r="J70" s="24">
        <v>1</v>
      </c>
      <c r="K70" s="24">
        <v>1</v>
      </c>
      <c r="L70" s="24"/>
      <c r="M70" s="24" t="b">
        <v>0</v>
      </c>
      <c r="N70" s="24" t="s">
        <v>477</v>
      </c>
      <c r="O70" s="15">
        <f>VLOOKUP(N70,Select!D:H,5,FALSE)</f>
        <v>0</v>
      </c>
    </row>
    <row r="71" spans="1:15">
      <c r="A71" s="23">
        <v>104501</v>
      </c>
      <c r="B71" s="1" t="s">
        <v>534</v>
      </c>
      <c r="C71" s="6">
        <f>VLOOKUP(B71,Select!A:H,8,FALSE)</f>
        <v>8</v>
      </c>
      <c r="D71" s="1" t="s">
        <v>10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24" t="s">
        <v>1232</v>
      </c>
      <c r="I71" s="24">
        <v>3</v>
      </c>
      <c r="J71" s="24">
        <v>2</v>
      </c>
      <c r="K71" s="24">
        <v>3</v>
      </c>
      <c r="L71" s="24"/>
      <c r="M71" s="24" t="b">
        <v>0</v>
      </c>
      <c r="N71" s="24" t="s">
        <v>477</v>
      </c>
      <c r="O71" s="15">
        <f>VLOOKUP(N71,Select!D:H,5,FALSE)</f>
        <v>0</v>
      </c>
    </row>
    <row r="72" spans="1:15">
      <c r="A72" s="23">
        <v>104502</v>
      </c>
      <c r="B72" s="5" t="s">
        <v>534</v>
      </c>
      <c r="C72" s="6">
        <f>VLOOKUP(B72,Select!A:H,8,FALSE)</f>
        <v>8</v>
      </c>
      <c r="D72" s="5" t="s">
        <v>10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24" t="s">
        <v>1233</v>
      </c>
      <c r="I72" s="24">
        <v>6</v>
      </c>
      <c r="J72" s="24">
        <v>3</v>
      </c>
      <c r="K72" s="24">
        <v>6</v>
      </c>
      <c r="L72" s="24"/>
      <c r="M72" s="24" t="b">
        <v>0</v>
      </c>
      <c r="N72" s="24" t="s">
        <v>477</v>
      </c>
      <c r="O72" s="15">
        <f>VLOOKUP(N72,Select!D:H,5,FALSE)</f>
        <v>0</v>
      </c>
    </row>
    <row r="73" spans="1:15">
      <c r="A73" s="23">
        <v>104503</v>
      </c>
      <c r="B73" s="1" t="s">
        <v>534</v>
      </c>
      <c r="C73" s="6">
        <f>VLOOKUP(B73,Select!A:H,8,FALSE)</f>
        <v>8</v>
      </c>
      <c r="D73" s="1" t="s">
        <v>10</v>
      </c>
      <c r="E73" s="6">
        <f>VLOOKUP(D73,Select!B:H,7,FALSE)</f>
        <v>0</v>
      </c>
      <c r="F73" s="1" t="s">
        <v>23</v>
      </c>
      <c r="G73" s="6">
        <f>VLOOKUP(F73,Select!C:H,6,FALSE)</f>
        <v>1</v>
      </c>
      <c r="H73" s="24" t="s">
        <v>1234</v>
      </c>
      <c r="I73" s="24">
        <v>2</v>
      </c>
      <c r="J73" s="24"/>
      <c r="K73" s="24"/>
      <c r="L73" s="24"/>
      <c r="M73" s="24" t="b">
        <v>0</v>
      </c>
      <c r="N73" s="24" t="s">
        <v>477</v>
      </c>
      <c r="O73" s="15">
        <f>VLOOKUP(N73,Select!D:H,5,FALSE)</f>
        <v>0</v>
      </c>
    </row>
    <row r="74" spans="1:15">
      <c r="A74" s="23">
        <v>104504</v>
      </c>
      <c r="B74" s="5" t="s">
        <v>534</v>
      </c>
      <c r="C74" s="6">
        <f>VLOOKUP(B74,Select!A:H,8,FALSE)</f>
        <v>8</v>
      </c>
      <c r="D74" s="5" t="s">
        <v>36</v>
      </c>
      <c r="E74" s="6">
        <f>VLOOKUP(D74,Select!B:H,7,FALSE)</f>
        <v>1</v>
      </c>
      <c r="F74" s="5" t="s">
        <v>3</v>
      </c>
      <c r="G74" s="6">
        <f>VLOOKUP(F74,Select!C:H,6,FALSE)</f>
        <v>0</v>
      </c>
      <c r="H74" s="24" t="s">
        <v>1235</v>
      </c>
      <c r="I74" s="24">
        <v>3</v>
      </c>
      <c r="J74" s="24">
        <v>1</v>
      </c>
      <c r="K74" s="24">
        <v>1</v>
      </c>
      <c r="L74" s="24"/>
      <c r="M74" s="24" t="b">
        <v>0</v>
      </c>
      <c r="N74" s="24" t="s">
        <v>477</v>
      </c>
      <c r="O74" s="15">
        <f>VLOOKUP(N74,Select!D:H,5,FALSE)</f>
        <v>0</v>
      </c>
    </row>
    <row r="75" spans="1:15">
      <c r="A75" s="23">
        <v>104505</v>
      </c>
      <c r="B75" s="1" t="s">
        <v>534</v>
      </c>
      <c r="C75" s="6">
        <f>VLOOKUP(B75,Select!A:H,8,FALSE)</f>
        <v>8</v>
      </c>
      <c r="D75" s="1" t="s">
        <v>36</v>
      </c>
      <c r="E75" s="6">
        <f>VLOOKUP(D75,Select!B:H,7,FALSE)</f>
        <v>1</v>
      </c>
      <c r="F75" s="1" t="s">
        <v>3</v>
      </c>
      <c r="G75" s="6">
        <f>VLOOKUP(F75,Select!C:H,6,FALSE)</f>
        <v>0</v>
      </c>
      <c r="H75" s="24" t="s">
        <v>1236</v>
      </c>
      <c r="I75" s="24">
        <v>4</v>
      </c>
      <c r="J75" s="24">
        <v>1</v>
      </c>
      <c r="K75" s="24">
        <v>2</v>
      </c>
      <c r="L75" s="24"/>
      <c r="M75" s="24" t="b">
        <v>0</v>
      </c>
      <c r="N75" s="24" t="s">
        <v>477</v>
      </c>
      <c r="O75" s="15">
        <f>VLOOKUP(N75,Select!D:H,5,FALSE)</f>
        <v>0</v>
      </c>
    </row>
    <row r="76" spans="1:15">
      <c r="A76" s="23">
        <v>104506</v>
      </c>
      <c r="B76" s="5" t="s">
        <v>534</v>
      </c>
      <c r="C76" s="6">
        <f>VLOOKUP(B76,Select!A:H,8,FALSE)</f>
        <v>8</v>
      </c>
      <c r="D76" s="5" t="s">
        <v>36</v>
      </c>
      <c r="E76" s="6">
        <f>VLOOKUP(D76,Select!B:H,7,FALSE)</f>
        <v>1</v>
      </c>
      <c r="F76" s="5" t="s">
        <v>3</v>
      </c>
      <c r="G76" s="6">
        <f>VLOOKUP(F76,Select!C:H,6,FALSE)</f>
        <v>0</v>
      </c>
      <c r="H76" s="24" t="s">
        <v>1237</v>
      </c>
      <c r="I76" s="24">
        <v>5</v>
      </c>
      <c r="J76" s="24">
        <v>4</v>
      </c>
      <c r="K76" s="24">
        <v>5</v>
      </c>
      <c r="L76" s="24"/>
      <c r="M76" s="24" t="b">
        <v>0</v>
      </c>
      <c r="N76" s="24" t="s">
        <v>477</v>
      </c>
      <c r="O76" s="15">
        <f>VLOOKUP(N76,Select!D:H,5,FALSE)</f>
        <v>0</v>
      </c>
    </row>
    <row r="77" spans="1:15">
      <c r="A77" s="23">
        <v>104507</v>
      </c>
      <c r="B77" s="1" t="s">
        <v>534</v>
      </c>
      <c r="C77" s="6">
        <f>VLOOKUP(B77,Select!A:H,8,FALSE)</f>
        <v>8</v>
      </c>
      <c r="D77" s="1" t="s">
        <v>36</v>
      </c>
      <c r="E77" s="6">
        <f>VLOOKUP(D77,Select!B:H,7,FALSE)</f>
        <v>1</v>
      </c>
      <c r="F77" s="1" t="s">
        <v>34</v>
      </c>
      <c r="G77" s="6">
        <f>VLOOKUP(F77,Select!C:H,6,FALSE)</f>
        <v>2</v>
      </c>
      <c r="H77" s="24" t="s">
        <v>1238</v>
      </c>
      <c r="I77" s="24">
        <v>2</v>
      </c>
      <c r="J77" s="24"/>
      <c r="K77" s="24"/>
      <c r="L77" s="24"/>
      <c r="M77" s="24" t="b">
        <v>0</v>
      </c>
      <c r="N77" s="24" t="s">
        <v>477</v>
      </c>
      <c r="O77" s="15">
        <f>VLOOKUP(N77,Select!D:H,5,FALSE)</f>
        <v>0</v>
      </c>
    </row>
    <row r="78" spans="1:15">
      <c r="A78" s="23">
        <v>104508</v>
      </c>
      <c r="B78" s="5" t="s">
        <v>534</v>
      </c>
      <c r="C78" s="6">
        <f>VLOOKUP(B78,Select!A:H,8,FALSE)</f>
        <v>8</v>
      </c>
      <c r="D78" s="5" t="s">
        <v>21</v>
      </c>
      <c r="E78" s="6">
        <f>VLOOKUP(D78,Select!B:H,7,FALSE)</f>
        <v>2</v>
      </c>
      <c r="F78" s="5" t="s">
        <v>3</v>
      </c>
      <c r="G78" s="6">
        <f>VLOOKUP(F78,Select!C:H,6,FALSE)</f>
        <v>0</v>
      </c>
      <c r="H78" s="24" t="s">
        <v>1239</v>
      </c>
      <c r="I78" s="24">
        <v>2</v>
      </c>
      <c r="J78" s="24">
        <v>2</v>
      </c>
      <c r="K78" s="24">
        <v>2</v>
      </c>
      <c r="L78" s="24"/>
      <c r="M78" s="24" t="b">
        <v>0</v>
      </c>
      <c r="N78" s="24" t="s">
        <v>477</v>
      </c>
      <c r="O78" s="15">
        <f>VLOOKUP(N78,Select!D:H,5,FALSE)</f>
        <v>0</v>
      </c>
    </row>
    <row r="79" spans="1:15">
      <c r="A79" s="23">
        <v>104509</v>
      </c>
      <c r="B79" s="1" t="s">
        <v>534</v>
      </c>
      <c r="C79" s="6">
        <f>VLOOKUP(B79,Select!A:H,8,FALSE)</f>
        <v>8</v>
      </c>
      <c r="D79" s="1" t="s">
        <v>21</v>
      </c>
      <c r="E79" s="6">
        <f>VLOOKUP(D79,Select!B:H,7,FALSE)</f>
        <v>2</v>
      </c>
      <c r="F79" s="1" t="s">
        <v>3</v>
      </c>
      <c r="G79" s="6">
        <f>VLOOKUP(F79,Select!C:H,6,FALSE)</f>
        <v>0</v>
      </c>
      <c r="H79" s="24" t="s">
        <v>1240</v>
      </c>
      <c r="I79" s="24">
        <v>7</v>
      </c>
      <c r="J79" s="24">
        <v>4</v>
      </c>
      <c r="K79" s="24">
        <v>5</v>
      </c>
      <c r="L79" s="24"/>
      <c r="M79" s="24" t="b">
        <v>0</v>
      </c>
      <c r="N79" s="24" t="s">
        <v>477</v>
      </c>
      <c r="O79" s="15">
        <f>VLOOKUP(N79,Select!D:H,5,FALSE)</f>
        <v>0</v>
      </c>
    </row>
    <row r="80" spans="1:15">
      <c r="A80" s="23">
        <v>104510</v>
      </c>
      <c r="B80" s="5" t="s">
        <v>534</v>
      </c>
      <c r="C80" s="6">
        <f>VLOOKUP(B80,Select!A:H,8,FALSE)</f>
        <v>8</v>
      </c>
      <c r="D80" s="5" t="s">
        <v>21</v>
      </c>
      <c r="E80" s="6">
        <f>VLOOKUP(D80,Select!B:H,7,FALSE)</f>
        <v>2</v>
      </c>
      <c r="F80" s="5" t="s">
        <v>34</v>
      </c>
      <c r="G80" s="6">
        <f>VLOOKUP(F80,Select!C:H,6,FALSE)</f>
        <v>2</v>
      </c>
      <c r="H80" s="24" t="s">
        <v>1241</v>
      </c>
      <c r="I80" s="24">
        <v>4</v>
      </c>
      <c r="J80" s="24"/>
      <c r="K80" s="24"/>
      <c r="L80" s="24"/>
      <c r="M80" s="24" t="b">
        <v>0</v>
      </c>
      <c r="N80" s="24" t="s">
        <v>477</v>
      </c>
      <c r="O80" s="15">
        <f>VLOOKUP(N80,Select!D:H,5,FALSE)</f>
        <v>0</v>
      </c>
    </row>
    <row r="81" spans="1:15">
      <c r="A81" s="23">
        <v>104511</v>
      </c>
      <c r="B81" s="1" t="s">
        <v>534</v>
      </c>
      <c r="C81" s="6">
        <f>VLOOKUP(B81,Select!A:H,8,FALSE)</f>
        <v>8</v>
      </c>
      <c r="D81" s="1" t="s">
        <v>30</v>
      </c>
      <c r="E81" s="6">
        <f>VLOOKUP(D81,Select!B:H,7,FALSE)</f>
        <v>3</v>
      </c>
      <c r="F81" s="1" t="s">
        <v>3</v>
      </c>
      <c r="G81" s="6">
        <f>VLOOKUP(F81,Select!C:H,6,FALSE)</f>
        <v>0</v>
      </c>
      <c r="H81" s="24" t="s">
        <v>1242</v>
      </c>
      <c r="I81" s="24">
        <v>3</v>
      </c>
      <c r="J81" s="24">
        <v>2</v>
      </c>
      <c r="K81" s="24">
        <v>2</v>
      </c>
      <c r="L81" s="24"/>
      <c r="M81" s="24" t="b">
        <v>0</v>
      </c>
      <c r="N81" s="24" t="s">
        <v>477</v>
      </c>
      <c r="O81" s="15">
        <f>VLOOKUP(N81,Select!D:H,5,FALSE)</f>
        <v>0</v>
      </c>
    </row>
    <row r="82" spans="1:15">
      <c r="A82" s="23">
        <v>104512</v>
      </c>
      <c r="B82" s="5" t="s">
        <v>534</v>
      </c>
      <c r="C82" s="6">
        <f>VLOOKUP(B82,Select!A:H,8,FALSE)</f>
        <v>8</v>
      </c>
      <c r="D82" s="5" t="s">
        <v>30</v>
      </c>
      <c r="E82" s="6">
        <f>VLOOKUP(D82,Select!B:H,7,FALSE)</f>
        <v>3</v>
      </c>
      <c r="F82" s="5" t="s">
        <v>3</v>
      </c>
      <c r="G82" s="6">
        <f>VLOOKUP(F82,Select!C:H,6,FALSE)</f>
        <v>0</v>
      </c>
      <c r="H82" s="24" t="s">
        <v>1243</v>
      </c>
      <c r="I82" s="24">
        <v>7</v>
      </c>
      <c r="J82" s="24">
        <v>5</v>
      </c>
      <c r="K82" s="24">
        <v>6</v>
      </c>
      <c r="L82" s="24"/>
      <c r="M82" s="24" t="b">
        <v>0</v>
      </c>
      <c r="N82" s="24" t="s">
        <v>477</v>
      </c>
      <c r="O82" s="15">
        <f>VLOOKUP(N82,Select!D:H,5,FALSE)</f>
        <v>0</v>
      </c>
    </row>
    <row r="83" spans="1:15">
      <c r="A83" s="23">
        <v>104600</v>
      </c>
      <c r="B83" s="1" t="s">
        <v>532</v>
      </c>
      <c r="C83" s="6">
        <f>VLOOKUP(B83,Select!A:H,8,FALSE)</f>
        <v>9</v>
      </c>
      <c r="D83" s="1" t="s">
        <v>10</v>
      </c>
      <c r="E83" s="6">
        <f>VLOOKUP(D83,Select!B:H,7,FALSE)</f>
        <v>0</v>
      </c>
      <c r="F83" s="1" t="s">
        <v>3</v>
      </c>
      <c r="G83" s="6">
        <f>VLOOKUP(F83,Select!C:H,6,FALSE)</f>
        <v>0</v>
      </c>
      <c r="H83" s="24" t="s">
        <v>1244</v>
      </c>
      <c r="I83" s="24">
        <v>2</v>
      </c>
      <c r="J83" s="24">
        <v>1</v>
      </c>
      <c r="K83" s="24">
        <v>4</v>
      </c>
      <c r="L83" s="24"/>
      <c r="M83" s="24" t="b">
        <v>0</v>
      </c>
      <c r="N83" s="24" t="s">
        <v>477</v>
      </c>
      <c r="O83" s="15">
        <f>VLOOKUP(N83,Select!D:H,5,FALSE)</f>
        <v>0</v>
      </c>
    </row>
    <row r="84" spans="1:15">
      <c r="A84" s="23">
        <v>104601</v>
      </c>
      <c r="B84" s="5" t="s">
        <v>532</v>
      </c>
      <c r="C84" s="6">
        <f>VLOOKUP(B84,Select!A:H,8,FALSE)</f>
        <v>9</v>
      </c>
      <c r="D84" s="5" t="s">
        <v>10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24" t="s">
        <v>1245</v>
      </c>
      <c r="I84" s="24">
        <v>3</v>
      </c>
      <c r="J84" s="24">
        <v>2</v>
      </c>
      <c r="K84" s="24">
        <v>2</v>
      </c>
      <c r="L84" s="24"/>
      <c r="M84" s="24" t="b">
        <v>0</v>
      </c>
      <c r="N84" s="24" t="s">
        <v>477</v>
      </c>
      <c r="O84" s="15">
        <f>VLOOKUP(N84,Select!D:H,5,FALSE)</f>
        <v>0</v>
      </c>
    </row>
    <row r="85" spans="1:15">
      <c r="A85" s="23">
        <v>104602</v>
      </c>
      <c r="B85" s="1" t="s">
        <v>532</v>
      </c>
      <c r="C85" s="6">
        <f>VLOOKUP(B85,Select!A:H,8,FALSE)</f>
        <v>9</v>
      </c>
      <c r="D85" s="1" t="s">
        <v>10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24" t="s">
        <v>1246</v>
      </c>
      <c r="I85" s="24">
        <v>4</v>
      </c>
      <c r="J85" s="24">
        <v>2</v>
      </c>
      <c r="K85" s="24">
        <v>5</v>
      </c>
      <c r="L85" s="24"/>
      <c r="M85" s="24" t="b">
        <v>0</v>
      </c>
      <c r="N85" s="24" t="s">
        <v>477</v>
      </c>
      <c r="O85" s="15">
        <f>VLOOKUP(N85,Select!D:H,5,FALSE)</f>
        <v>0</v>
      </c>
    </row>
    <row r="86" spans="1:15">
      <c r="A86" s="23">
        <v>104603</v>
      </c>
      <c r="B86" s="5" t="s">
        <v>532</v>
      </c>
      <c r="C86" s="6">
        <f>VLOOKUP(B86,Select!A:H,8,FALSE)</f>
        <v>9</v>
      </c>
      <c r="D86" s="5" t="s">
        <v>10</v>
      </c>
      <c r="E86" s="6">
        <f>VLOOKUP(D86,Select!B:H,7,FALSE)</f>
        <v>0</v>
      </c>
      <c r="F86" s="5" t="s">
        <v>23</v>
      </c>
      <c r="G86" s="6">
        <f>VLOOKUP(F86,Select!C:H,6,FALSE)</f>
        <v>1</v>
      </c>
      <c r="H86" s="24" t="s">
        <v>1247</v>
      </c>
      <c r="I86" s="24">
        <v>6</v>
      </c>
      <c r="J86" s="24"/>
      <c r="K86" s="24"/>
      <c r="L86" s="24"/>
      <c r="M86" s="24" t="b">
        <v>0</v>
      </c>
      <c r="N86" s="24" t="s">
        <v>477</v>
      </c>
      <c r="O86" s="15">
        <f>VLOOKUP(N86,Select!D:H,5,FALSE)</f>
        <v>0</v>
      </c>
    </row>
    <row r="87" spans="1:15">
      <c r="A87" s="23">
        <v>104604</v>
      </c>
      <c r="B87" s="1" t="s">
        <v>532</v>
      </c>
      <c r="C87" s="6">
        <f>VLOOKUP(B87,Select!A:H,8,FALSE)</f>
        <v>9</v>
      </c>
      <c r="D87" s="1" t="s">
        <v>36</v>
      </c>
      <c r="E87" s="6">
        <f>VLOOKUP(D87,Select!B:H,7,FALSE)</f>
        <v>1</v>
      </c>
      <c r="F87" s="1" t="s">
        <v>3</v>
      </c>
      <c r="G87" s="6">
        <f>VLOOKUP(F87,Select!C:H,6,FALSE)</f>
        <v>0</v>
      </c>
      <c r="H87" s="24" t="s">
        <v>1248</v>
      </c>
      <c r="I87" s="24">
        <v>2</v>
      </c>
      <c r="J87" s="24">
        <v>2</v>
      </c>
      <c r="K87" s="24">
        <v>1</v>
      </c>
      <c r="L87" s="24"/>
      <c r="M87" s="24" t="b">
        <v>0</v>
      </c>
      <c r="N87" s="24" t="s">
        <v>477</v>
      </c>
      <c r="O87" s="15">
        <f>VLOOKUP(N87,Select!D:H,5,FALSE)</f>
        <v>0</v>
      </c>
    </row>
    <row r="88" spans="1:15">
      <c r="A88" s="23">
        <v>104605</v>
      </c>
      <c r="B88" s="5" t="s">
        <v>532</v>
      </c>
      <c r="C88" s="6">
        <f>VLOOKUP(B88,Select!A:H,8,FALSE)</f>
        <v>9</v>
      </c>
      <c r="D88" s="5" t="s">
        <v>36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24" t="s">
        <v>1249</v>
      </c>
      <c r="I88" s="24">
        <v>5</v>
      </c>
      <c r="J88" s="24">
        <v>4</v>
      </c>
      <c r="K88" s="24">
        <v>5</v>
      </c>
      <c r="L88" s="24"/>
      <c r="M88" s="24" t="b">
        <v>0</v>
      </c>
      <c r="N88" s="24" t="s">
        <v>477</v>
      </c>
      <c r="O88" s="15">
        <f>VLOOKUP(N88,Select!D:H,5,FALSE)</f>
        <v>0</v>
      </c>
    </row>
    <row r="89" spans="1:15">
      <c r="A89" s="23">
        <v>104606</v>
      </c>
      <c r="B89" s="1" t="s">
        <v>532</v>
      </c>
      <c r="C89" s="6">
        <f>VLOOKUP(B89,Select!A:H,8,FALSE)</f>
        <v>9</v>
      </c>
      <c r="D89" s="1" t="s">
        <v>36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24" t="s">
        <v>1250</v>
      </c>
      <c r="I89" s="24">
        <v>5</v>
      </c>
      <c r="J89" s="24">
        <v>3</v>
      </c>
      <c r="K89" s="24">
        <v>4</v>
      </c>
      <c r="L89" s="24"/>
      <c r="M89" s="24" t="b">
        <v>0</v>
      </c>
      <c r="N89" s="24" t="s">
        <v>477</v>
      </c>
      <c r="O89" s="15">
        <f>VLOOKUP(N89,Select!D:H,5,FALSE)</f>
        <v>0</v>
      </c>
    </row>
    <row r="90" spans="1:15">
      <c r="A90" s="23">
        <v>104607</v>
      </c>
      <c r="B90" s="5" t="s">
        <v>532</v>
      </c>
      <c r="C90" s="6">
        <f>VLOOKUP(B90,Select!A:H,8,FALSE)</f>
        <v>9</v>
      </c>
      <c r="D90" s="5" t="s">
        <v>36</v>
      </c>
      <c r="E90" s="6">
        <f>VLOOKUP(D90,Select!B:H,7,FALSE)</f>
        <v>1</v>
      </c>
      <c r="F90" s="5" t="s">
        <v>34</v>
      </c>
      <c r="G90" s="6">
        <f>VLOOKUP(F90,Select!C:H,6,FALSE)</f>
        <v>2</v>
      </c>
      <c r="H90" s="24" t="s">
        <v>1251</v>
      </c>
      <c r="I90" s="24">
        <v>2</v>
      </c>
      <c r="J90" s="24"/>
      <c r="K90" s="24"/>
      <c r="L90" s="24"/>
      <c r="M90" s="24" t="b">
        <v>0</v>
      </c>
      <c r="N90" s="24" t="s">
        <v>477</v>
      </c>
      <c r="O90" s="15">
        <f>VLOOKUP(N90,Select!D:H,5,FALSE)</f>
        <v>0</v>
      </c>
    </row>
    <row r="91" spans="1:15">
      <c r="A91" s="23">
        <v>104608</v>
      </c>
      <c r="B91" s="1" t="s">
        <v>532</v>
      </c>
      <c r="C91" s="6">
        <f>VLOOKUP(B91,Select!A:H,8,FALSE)</f>
        <v>9</v>
      </c>
      <c r="D91" s="1" t="s">
        <v>21</v>
      </c>
      <c r="E91" s="6">
        <f>VLOOKUP(D91,Select!B:H,7,FALSE)</f>
        <v>2</v>
      </c>
      <c r="F91" s="1" t="s">
        <v>3</v>
      </c>
      <c r="G91" s="6">
        <f>VLOOKUP(F91,Select!C:H,6,FALSE)</f>
        <v>0</v>
      </c>
      <c r="H91" s="24" t="s">
        <v>1252</v>
      </c>
      <c r="I91" s="24">
        <v>2</v>
      </c>
      <c r="J91" s="24">
        <v>2</v>
      </c>
      <c r="K91" s="24">
        <v>2</v>
      </c>
      <c r="L91" s="24"/>
      <c r="M91" s="24" t="b">
        <v>0</v>
      </c>
      <c r="N91" s="24" t="s">
        <v>477</v>
      </c>
      <c r="O91" s="15">
        <f>VLOOKUP(N91,Select!D:H,5,FALSE)</f>
        <v>0</v>
      </c>
    </row>
    <row r="92" spans="1:15">
      <c r="A92" s="23">
        <v>104609</v>
      </c>
      <c r="B92" s="5" t="s">
        <v>532</v>
      </c>
      <c r="C92" s="6">
        <f>VLOOKUP(B92,Select!A:H,8,FALSE)</f>
        <v>9</v>
      </c>
      <c r="D92" s="5" t="s">
        <v>21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24" t="s">
        <v>1253</v>
      </c>
      <c r="I92" s="24">
        <v>7</v>
      </c>
      <c r="J92" s="24">
        <v>4</v>
      </c>
      <c r="K92" s="24">
        <v>6</v>
      </c>
      <c r="L92" s="24"/>
      <c r="M92" s="24" t="b">
        <v>0</v>
      </c>
      <c r="N92" s="24" t="s">
        <v>477</v>
      </c>
      <c r="O92" s="15">
        <f>VLOOKUP(N92,Select!D:H,5,FALSE)</f>
        <v>0</v>
      </c>
    </row>
    <row r="93" spans="1:15">
      <c r="A93" s="23">
        <v>104610</v>
      </c>
      <c r="B93" s="1" t="s">
        <v>532</v>
      </c>
      <c r="C93" s="6">
        <f>VLOOKUP(B93,Select!A:H,8,FALSE)</f>
        <v>9</v>
      </c>
      <c r="D93" s="1" t="s">
        <v>21</v>
      </c>
      <c r="E93" s="6">
        <f>VLOOKUP(D93,Select!B:H,7,FALSE)</f>
        <v>2</v>
      </c>
      <c r="F93" s="1" t="s">
        <v>34</v>
      </c>
      <c r="G93" s="6">
        <f>VLOOKUP(F93,Select!C:H,6,FALSE)</f>
        <v>2</v>
      </c>
      <c r="H93" s="24" t="s">
        <v>1254</v>
      </c>
      <c r="I93" s="24">
        <v>3</v>
      </c>
      <c r="J93" s="24"/>
      <c r="K93" s="24"/>
      <c r="L93" s="24"/>
      <c r="M93" s="24" t="b">
        <v>0</v>
      </c>
      <c r="N93" s="24" t="s">
        <v>477</v>
      </c>
      <c r="O93" s="15">
        <f>VLOOKUP(N93,Select!D:H,5,FALSE)</f>
        <v>0</v>
      </c>
    </row>
    <row r="94" spans="1:15">
      <c r="A94" s="23">
        <v>104611</v>
      </c>
      <c r="B94" s="5" t="s">
        <v>532</v>
      </c>
      <c r="C94" s="6">
        <f>VLOOKUP(B94,Select!A:H,8,FALSE)</f>
        <v>9</v>
      </c>
      <c r="D94" s="5" t="s">
        <v>30</v>
      </c>
      <c r="E94" s="6">
        <f>VLOOKUP(D94,Select!B:H,7,FALSE)</f>
        <v>3</v>
      </c>
      <c r="F94" s="5" t="s">
        <v>3</v>
      </c>
      <c r="G94" s="6">
        <f>VLOOKUP(F94,Select!C:H,6,FALSE)</f>
        <v>0</v>
      </c>
      <c r="H94" s="24" t="s">
        <v>1255</v>
      </c>
      <c r="I94" s="24">
        <v>4</v>
      </c>
      <c r="J94" s="24">
        <v>4</v>
      </c>
      <c r="K94" s="24">
        <v>4</v>
      </c>
      <c r="L94" s="24"/>
      <c r="M94" s="24" t="b">
        <v>0</v>
      </c>
      <c r="N94" s="24" t="s">
        <v>477</v>
      </c>
      <c r="O94" s="15">
        <f>VLOOKUP(N94,Select!D:H,5,FALSE)</f>
        <v>0</v>
      </c>
    </row>
    <row r="95" spans="1:15">
      <c r="A95" s="23">
        <v>104612</v>
      </c>
      <c r="B95" s="1" t="s">
        <v>532</v>
      </c>
      <c r="C95" s="6">
        <f>VLOOKUP(B95,Select!A:H,8,FALSE)</f>
        <v>9</v>
      </c>
      <c r="D95" s="1" t="s">
        <v>30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24" t="s">
        <v>1256</v>
      </c>
      <c r="I95" s="24">
        <v>8</v>
      </c>
      <c r="J95" s="24">
        <v>5</v>
      </c>
      <c r="K95" s="24">
        <v>5</v>
      </c>
      <c r="L95" s="24"/>
      <c r="M95" s="24" t="b">
        <v>0</v>
      </c>
      <c r="N95" s="24" t="s">
        <v>477</v>
      </c>
      <c r="O95" s="15">
        <f>VLOOKUP(N95,Select!D:H,5,FALSE)</f>
        <v>0</v>
      </c>
    </row>
    <row r="96" spans="1:15">
      <c r="A96" s="23">
        <v>104700</v>
      </c>
      <c r="B96" s="5" t="s">
        <v>29</v>
      </c>
      <c r="C96" s="6">
        <f>VLOOKUP(B96,Select!A:H,8,FALSE)</f>
        <v>6</v>
      </c>
      <c r="D96" s="5" t="s">
        <v>10</v>
      </c>
      <c r="E96" s="6">
        <f>VLOOKUP(D96,Select!B:H,7,FALSE)</f>
        <v>0</v>
      </c>
      <c r="F96" s="5" t="s">
        <v>3</v>
      </c>
      <c r="G96" s="6">
        <f>VLOOKUP(F96,Select!C:H,6,FALSE)</f>
        <v>0</v>
      </c>
      <c r="H96" s="24" t="s">
        <v>1257</v>
      </c>
      <c r="I96" s="24">
        <v>2</v>
      </c>
      <c r="J96" s="24">
        <v>2</v>
      </c>
      <c r="K96" s="24">
        <v>2</v>
      </c>
      <c r="L96" s="24"/>
      <c r="M96" s="24" t="b">
        <v>0</v>
      </c>
      <c r="N96" s="24" t="s">
        <v>477</v>
      </c>
      <c r="O96" s="15">
        <f>VLOOKUP(N96,Select!D:H,5,FALSE)</f>
        <v>0</v>
      </c>
    </row>
    <row r="97" spans="1:15">
      <c r="A97" s="23">
        <v>104701</v>
      </c>
      <c r="B97" s="1" t="s">
        <v>29</v>
      </c>
      <c r="C97" s="6">
        <f>VLOOKUP(B97,Select!A:H,8,FALSE)</f>
        <v>6</v>
      </c>
      <c r="D97" s="1" t="s">
        <v>10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24" t="s">
        <v>1258</v>
      </c>
      <c r="I97" s="24">
        <v>4</v>
      </c>
      <c r="J97" s="24">
        <v>3</v>
      </c>
      <c r="K97" s="24">
        <v>3</v>
      </c>
      <c r="L97" s="24"/>
      <c r="M97" s="24" t="b">
        <v>0</v>
      </c>
      <c r="N97" s="24" t="s">
        <v>477</v>
      </c>
      <c r="O97" s="15">
        <f>VLOOKUP(N97,Select!D:H,5,FALSE)</f>
        <v>0</v>
      </c>
    </row>
    <row r="98" spans="1:15">
      <c r="A98" s="23">
        <v>104702</v>
      </c>
      <c r="B98" s="5" t="s">
        <v>29</v>
      </c>
      <c r="C98" s="6">
        <f>VLOOKUP(B98,Select!A:H,8,FALSE)</f>
        <v>6</v>
      </c>
      <c r="D98" s="5" t="s">
        <v>10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24" t="s">
        <v>1259</v>
      </c>
      <c r="I98" s="24">
        <v>4</v>
      </c>
      <c r="J98" s="24">
        <v>3</v>
      </c>
      <c r="K98" s="24">
        <v>4</v>
      </c>
      <c r="L98" s="24"/>
      <c r="M98" s="24" t="b">
        <v>0</v>
      </c>
      <c r="N98" s="24" t="s">
        <v>477</v>
      </c>
      <c r="O98" s="15">
        <f>VLOOKUP(N98,Select!D:H,5,FALSE)</f>
        <v>0</v>
      </c>
    </row>
    <row r="99" spans="1:15">
      <c r="A99" s="23">
        <v>104703</v>
      </c>
      <c r="B99" s="1" t="s">
        <v>29</v>
      </c>
      <c r="C99" s="6">
        <f>VLOOKUP(B99,Select!A:H,8,FALSE)</f>
        <v>6</v>
      </c>
      <c r="D99" s="1" t="s">
        <v>10</v>
      </c>
      <c r="E99" s="6">
        <f>VLOOKUP(D99,Select!B:H,7,FALSE)</f>
        <v>0</v>
      </c>
      <c r="F99" s="1" t="s">
        <v>34</v>
      </c>
      <c r="G99" s="6">
        <f>VLOOKUP(F99,Select!C:H,6,FALSE)</f>
        <v>2</v>
      </c>
      <c r="H99" s="24" t="s">
        <v>1260</v>
      </c>
      <c r="I99" s="24">
        <v>3</v>
      </c>
      <c r="J99" s="24"/>
      <c r="K99" s="24"/>
      <c r="L99" s="24"/>
      <c r="M99" s="24" t="b">
        <v>0</v>
      </c>
      <c r="N99" s="24" t="s">
        <v>477</v>
      </c>
      <c r="O99" s="15">
        <f>VLOOKUP(N99,Select!D:H,5,FALSE)</f>
        <v>0</v>
      </c>
    </row>
    <row r="100" spans="1:15">
      <c r="A100" s="23">
        <v>104704</v>
      </c>
      <c r="B100" s="5" t="s">
        <v>29</v>
      </c>
      <c r="C100" s="6">
        <f>VLOOKUP(B100,Select!A:H,8,FALSE)</f>
        <v>6</v>
      </c>
      <c r="D100" s="5" t="s">
        <v>36</v>
      </c>
      <c r="E100" s="6">
        <f>VLOOKUP(D100,Select!B:H,7,FALSE)</f>
        <v>1</v>
      </c>
      <c r="F100" s="5" t="s">
        <v>3</v>
      </c>
      <c r="G100" s="6">
        <f>VLOOKUP(F100,Select!C:H,6,FALSE)</f>
        <v>0</v>
      </c>
      <c r="H100" s="24" t="s">
        <v>1261</v>
      </c>
      <c r="I100" s="24">
        <v>2</v>
      </c>
      <c r="J100" s="24">
        <v>2</v>
      </c>
      <c r="K100" s="24">
        <v>2</v>
      </c>
      <c r="L100" s="24"/>
      <c r="M100" s="24" t="b">
        <v>0</v>
      </c>
      <c r="N100" s="24" t="s">
        <v>477</v>
      </c>
      <c r="O100" s="15">
        <f>VLOOKUP(N100,Select!D:H,5,FALSE)</f>
        <v>0</v>
      </c>
    </row>
    <row r="101" spans="1:15">
      <c r="A101" s="23">
        <v>104705</v>
      </c>
      <c r="B101" s="1" t="s">
        <v>29</v>
      </c>
      <c r="C101" s="6">
        <f>VLOOKUP(B101,Select!A:H,8,FALSE)</f>
        <v>6</v>
      </c>
      <c r="D101" s="1" t="s">
        <v>36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24" t="s">
        <v>1262</v>
      </c>
      <c r="I101" s="24">
        <v>5</v>
      </c>
      <c r="J101" s="24">
        <v>3</v>
      </c>
      <c r="K101" s="24">
        <v>5</v>
      </c>
      <c r="L101" s="24"/>
      <c r="M101" s="24" t="b">
        <v>0</v>
      </c>
      <c r="N101" s="24" t="s">
        <v>477</v>
      </c>
      <c r="O101" s="15">
        <f>VLOOKUP(N101,Select!D:H,5,FALSE)</f>
        <v>0</v>
      </c>
    </row>
    <row r="102" spans="1:15">
      <c r="A102" s="23">
        <v>104706</v>
      </c>
      <c r="B102" s="5" t="s">
        <v>29</v>
      </c>
      <c r="C102" s="6">
        <f>VLOOKUP(B102,Select!A:H,8,FALSE)</f>
        <v>6</v>
      </c>
      <c r="D102" s="5" t="s">
        <v>36</v>
      </c>
      <c r="E102" s="6">
        <f>VLOOKUP(D102,Select!B:H,7,FALSE)</f>
        <v>1</v>
      </c>
      <c r="F102" s="5" t="s">
        <v>3</v>
      </c>
      <c r="G102" s="6">
        <f>VLOOKUP(F102,Select!C:H,6,FALSE)</f>
        <v>0</v>
      </c>
      <c r="H102" s="24" t="s">
        <v>1263</v>
      </c>
      <c r="I102" s="24">
        <v>6</v>
      </c>
      <c r="J102" s="24">
        <v>4</v>
      </c>
      <c r="K102" s="24">
        <v>4</v>
      </c>
      <c r="L102" s="24"/>
      <c r="M102" s="24" t="b">
        <v>0</v>
      </c>
      <c r="N102" s="24" t="s">
        <v>477</v>
      </c>
      <c r="O102" s="15">
        <f>VLOOKUP(N102,Select!D:H,5,FALSE)</f>
        <v>0</v>
      </c>
    </row>
    <row r="103" spans="1:15">
      <c r="A103" s="23">
        <v>104707</v>
      </c>
      <c r="B103" s="1" t="s">
        <v>29</v>
      </c>
      <c r="C103" s="6">
        <f>VLOOKUP(B103,Select!A:H,8,FALSE)</f>
        <v>6</v>
      </c>
      <c r="D103" s="1" t="s">
        <v>36</v>
      </c>
      <c r="E103" s="6">
        <f>VLOOKUP(D103,Select!B:H,7,FALSE)</f>
        <v>1</v>
      </c>
      <c r="F103" s="1" t="s">
        <v>34</v>
      </c>
      <c r="G103" s="6">
        <f>VLOOKUP(F103,Select!C:H,6,FALSE)</f>
        <v>2</v>
      </c>
      <c r="H103" s="24" t="s">
        <v>1264</v>
      </c>
      <c r="I103" s="24">
        <v>4</v>
      </c>
      <c r="J103" s="24"/>
      <c r="K103" s="24"/>
      <c r="L103" s="24"/>
      <c r="M103" s="24" t="b">
        <v>0</v>
      </c>
      <c r="N103" s="24" t="s">
        <v>477</v>
      </c>
      <c r="O103" s="15">
        <f>VLOOKUP(N103,Select!D:H,5,FALSE)</f>
        <v>0</v>
      </c>
    </row>
    <row r="104" spans="1:15">
      <c r="A104" s="23">
        <v>104708</v>
      </c>
      <c r="B104" s="5" t="s">
        <v>29</v>
      </c>
      <c r="C104" s="6">
        <f>VLOOKUP(B104,Select!A:H,8,FALSE)</f>
        <v>6</v>
      </c>
      <c r="D104" s="5" t="s">
        <v>21</v>
      </c>
      <c r="E104" s="6">
        <f>VLOOKUP(D104,Select!B:H,7,FALSE)</f>
        <v>2</v>
      </c>
      <c r="F104" s="5" t="s">
        <v>3</v>
      </c>
      <c r="G104" s="6">
        <f>VLOOKUP(F104,Select!C:H,6,FALSE)</f>
        <v>0</v>
      </c>
      <c r="H104" s="24" t="s">
        <v>1265</v>
      </c>
      <c r="I104" s="24">
        <v>3</v>
      </c>
      <c r="J104" s="24">
        <v>3</v>
      </c>
      <c r="K104" s="24">
        <v>4</v>
      </c>
      <c r="L104" s="24"/>
      <c r="M104" s="24" t="b">
        <v>0</v>
      </c>
      <c r="N104" s="24" t="s">
        <v>477</v>
      </c>
      <c r="O104" s="15">
        <f>VLOOKUP(N104,Select!D:H,5,FALSE)</f>
        <v>0</v>
      </c>
    </row>
    <row r="105" spans="1:15">
      <c r="A105" s="23">
        <v>104709</v>
      </c>
      <c r="B105" s="1" t="s">
        <v>29</v>
      </c>
      <c r="C105" s="6">
        <f>VLOOKUP(B105,Select!A:H,8,FALSE)</f>
        <v>6</v>
      </c>
      <c r="D105" s="1" t="s">
        <v>21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24" t="s">
        <v>1266</v>
      </c>
      <c r="I105" s="24">
        <v>6</v>
      </c>
      <c r="J105" s="24">
        <v>3</v>
      </c>
      <c r="K105" s="24">
        <v>5</v>
      </c>
      <c r="L105" s="24"/>
      <c r="M105" s="24" t="b">
        <v>0</v>
      </c>
      <c r="N105" s="24" t="s">
        <v>477</v>
      </c>
      <c r="O105" s="15">
        <f>VLOOKUP(N105,Select!D:H,5,FALSE)</f>
        <v>0</v>
      </c>
    </row>
    <row r="106" spans="1:15">
      <c r="A106" s="23">
        <v>104710</v>
      </c>
      <c r="B106" s="5" t="s">
        <v>29</v>
      </c>
      <c r="C106" s="6">
        <f>VLOOKUP(B106,Select!A:H,8,FALSE)</f>
        <v>6</v>
      </c>
      <c r="D106" s="5" t="s">
        <v>21</v>
      </c>
      <c r="E106" s="6">
        <f>VLOOKUP(D106,Select!B:H,7,FALSE)</f>
        <v>2</v>
      </c>
      <c r="F106" s="5" t="s">
        <v>34</v>
      </c>
      <c r="G106" s="6">
        <f>VLOOKUP(F106,Select!C:H,6,FALSE)</f>
        <v>2</v>
      </c>
      <c r="H106" s="24" t="s">
        <v>1267</v>
      </c>
      <c r="I106" s="24">
        <v>8</v>
      </c>
      <c r="J106" s="24"/>
      <c r="K106" s="24"/>
      <c r="L106" s="24"/>
      <c r="M106" s="24" t="b">
        <v>0</v>
      </c>
      <c r="N106" s="24" t="s">
        <v>477</v>
      </c>
      <c r="O106" s="15">
        <f>VLOOKUP(N106,Select!D:H,5,FALSE)</f>
        <v>0</v>
      </c>
    </row>
    <row r="107" spans="1:15">
      <c r="A107" s="23">
        <v>104711</v>
      </c>
      <c r="B107" s="1" t="s">
        <v>29</v>
      </c>
      <c r="C107" s="6">
        <f>VLOOKUP(B107,Select!A:H,8,FALSE)</f>
        <v>6</v>
      </c>
      <c r="D107" s="1" t="s">
        <v>30</v>
      </c>
      <c r="E107" s="6">
        <f>VLOOKUP(D107,Select!B:H,7,FALSE)</f>
        <v>3</v>
      </c>
      <c r="F107" s="1" t="s">
        <v>3</v>
      </c>
      <c r="G107" s="6">
        <f>VLOOKUP(F107,Select!C:H,6,FALSE)</f>
        <v>0</v>
      </c>
      <c r="H107" s="24" t="s">
        <v>1268</v>
      </c>
      <c r="I107" s="24">
        <v>6</v>
      </c>
      <c r="J107" s="24">
        <v>5</v>
      </c>
      <c r="K107" s="24">
        <v>5</v>
      </c>
      <c r="L107" s="24"/>
      <c r="M107" s="24" t="b">
        <v>0</v>
      </c>
      <c r="N107" s="24" t="s">
        <v>477</v>
      </c>
      <c r="O107" s="15">
        <f>VLOOKUP(N107,Select!D:H,5,FALSE)</f>
        <v>0</v>
      </c>
    </row>
    <row r="108" spans="1:15">
      <c r="A108" s="27">
        <v>104712</v>
      </c>
      <c r="B108" s="19" t="s">
        <v>29</v>
      </c>
      <c r="C108" s="9">
        <f>VLOOKUP(B108,Select!A:H,8,FALSE)</f>
        <v>6</v>
      </c>
      <c r="D108" s="19" t="s">
        <v>30</v>
      </c>
      <c r="E108" s="9">
        <f>VLOOKUP(D108,Select!B:H,7,FALSE)</f>
        <v>3</v>
      </c>
      <c r="F108" s="19" t="s">
        <v>3</v>
      </c>
      <c r="G108" s="9">
        <f>VLOOKUP(F108,Select!C:H,6,FALSE)</f>
        <v>0</v>
      </c>
      <c r="H108" s="28" t="s">
        <v>1269</v>
      </c>
      <c r="I108" s="28">
        <v>9</v>
      </c>
      <c r="J108" s="28">
        <v>8</v>
      </c>
      <c r="K108" s="28">
        <v>8</v>
      </c>
      <c r="L108" s="28"/>
      <c r="M108" s="28" t="b">
        <v>0</v>
      </c>
      <c r="N108" s="28" t="s">
        <v>477</v>
      </c>
      <c r="O108" s="20">
        <f>VLOOKUP(N108,Select!D:H,5,FALSE)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76F6C14-E8F0-490F-ABCC-F1B0C431E09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AC968259-D4FB-4A30-A906-6D572F0749E6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AA2D776A-12E7-4499-8D18-EFFA68A444D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E42EAA-9809-4E18-8683-0497BC00B0B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1858A1D7-DFB0-43E0-A5EB-755956C381C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A827742-6321-4E6E-90CB-3222988C31D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1BD0EC61-479A-4D20-AC6A-6C71255B3AEC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3D69ACB-DC9F-4E80-9E15-CC9631ABA281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B1:B108</xm:sqref>
        </x14:conditionalFormatting>
        <x14:conditionalFormatting xmlns:xm="http://schemas.microsoft.com/office/excel/2006/main">
          <x14:cfRule type="containsText" priority="1" operator="containsText" id="{FFF9560D-4544-4FAF-8021-F9F4B01120F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F7E3FF90-7965-4014-AA80-0CB3DC97C58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B2:B108</xm:sqref>
        </x14:conditionalFormatting>
        <x14:conditionalFormatting xmlns:xm="http://schemas.microsoft.com/office/excel/2006/main">
          <x14:cfRule type="containsText" priority="6" operator="containsText" id="{1223E8AC-5E6C-4C33-A6B1-558846326F7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D5CF62FF-3176-4430-BDE9-171E88CAA25F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D50DC20-E866-4E10-BB6D-1F42EA23F7B5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8E7FF75-FE16-4133-84E9-F068B13E2F3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D1:D108</xm:sqref>
        </x14:conditionalFormatting>
        <x14:conditionalFormatting xmlns:xm="http://schemas.microsoft.com/office/excel/2006/main">
          <x14:cfRule type="containsText" priority="3" operator="containsText" id="{24D81512-BE6C-4002-82FD-D340358EC024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D75DF05-08A9-44CA-85DD-EFE48392A2EA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213F698-006A-4787-88DA-9262E94A44AD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E4D0778-3F10-43D7-8CB1-CF782B1B63D4}">
          <x14:formula1>
            <xm:f>Select!$A:$A</xm:f>
          </x14:formula1>
          <xm:sqref>B2:B108</xm:sqref>
        </x14:dataValidation>
        <x14:dataValidation type="list" allowBlank="1" showInputMessage="1" showErrorMessage="1" xr:uid="{2C5DC845-8B3B-4238-AC91-FE7D4866DA93}">
          <x14:formula1>
            <xm:f>Select!$B:$B</xm:f>
          </x14:formula1>
          <xm:sqref>D2:D108</xm:sqref>
        </x14:dataValidation>
        <x14:dataValidation type="list" allowBlank="1" showInputMessage="1" showErrorMessage="1" xr:uid="{24B05892-E4AB-4BAF-AAA8-549DBB29011F}">
          <x14:formula1>
            <xm:f>Select!$C:$C</xm:f>
          </x14:formula1>
          <xm:sqref>F2:F108</xm:sqref>
        </x14:dataValidation>
        <x14:dataValidation type="list" allowBlank="1" showInputMessage="1" showErrorMessage="1" xr:uid="{4CA6D095-F5DC-4C3D-A659-3D82D99F2246}">
          <x14:formula1>
            <xm:f>Select!$D:$D</xm:f>
          </x14:formula1>
          <xm:sqref>N2:N108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BA552-0DE7-4037-8210-58E7FE5C4135}">
  <dimension ref="A1:O109"/>
  <sheetViews>
    <sheetView topLeftCell="A82" workbookViewId="0">
      <selection activeCell="H105" sqref="H105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6" t="s">
        <v>292</v>
      </c>
      <c r="B1" s="17" t="s">
        <v>293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7</v>
      </c>
      <c r="I1" s="17" t="s">
        <v>8</v>
      </c>
      <c r="J1" s="17" t="s">
        <v>9</v>
      </c>
      <c r="K1" s="17" t="s">
        <v>299</v>
      </c>
      <c r="L1" s="17" t="s">
        <v>300</v>
      </c>
      <c r="M1" s="17" t="s">
        <v>301</v>
      </c>
      <c r="N1" s="17" t="s">
        <v>475</v>
      </c>
      <c r="O1" s="18" t="s">
        <v>476</v>
      </c>
    </row>
    <row r="2" spans="1:15">
      <c r="A2" s="23">
        <v>105000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24" t="s">
        <v>1270</v>
      </c>
      <c r="I2" s="24">
        <v>3</v>
      </c>
      <c r="J2" s="24">
        <v>2</v>
      </c>
      <c r="K2" s="24">
        <v>2</v>
      </c>
      <c r="L2" s="24"/>
      <c r="M2" s="24" t="b">
        <v>0</v>
      </c>
      <c r="N2" s="24" t="s">
        <v>477</v>
      </c>
      <c r="O2" s="15">
        <f>VLOOKUP(N2,Select!D:H,5,FALSE)</f>
        <v>0</v>
      </c>
    </row>
    <row r="3" spans="1:15">
      <c r="A3" s="23">
        <v>105001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24" t="s">
        <v>1271</v>
      </c>
      <c r="I3" s="24">
        <v>3</v>
      </c>
      <c r="J3" s="24">
        <v>1</v>
      </c>
      <c r="K3" s="24">
        <v>2</v>
      </c>
      <c r="L3" s="24"/>
      <c r="M3" s="24" t="b">
        <v>0</v>
      </c>
      <c r="N3" s="24" t="s">
        <v>477</v>
      </c>
      <c r="O3" s="15">
        <f>VLOOKUP(N3,Select!D:H,5,FALSE)</f>
        <v>0</v>
      </c>
    </row>
    <row r="4" spans="1:15">
      <c r="A4" s="23">
        <v>105002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24" t="s">
        <v>1272</v>
      </c>
      <c r="I4" s="24">
        <v>4</v>
      </c>
      <c r="J4" s="24">
        <v>1</v>
      </c>
      <c r="K4" s="24">
        <v>3</v>
      </c>
      <c r="L4" s="24"/>
      <c r="M4" s="24" t="b">
        <v>0</v>
      </c>
      <c r="N4" s="24" t="s">
        <v>477</v>
      </c>
      <c r="O4" s="15">
        <f>VLOOKUP(N4,Select!D:H,5,FALSE)</f>
        <v>0</v>
      </c>
    </row>
    <row r="5" spans="1:15">
      <c r="A5" s="23">
        <v>105003</v>
      </c>
      <c r="B5" s="1" t="s">
        <v>1</v>
      </c>
      <c r="C5" s="6">
        <f>VLOOKUP(B5,Select!A:H,8,FALSE)</f>
        <v>0</v>
      </c>
      <c r="D5" s="1" t="s">
        <v>10</v>
      </c>
      <c r="E5" s="6">
        <f>VLOOKUP(D5,Select!B:H,7,FALSE)</f>
        <v>0</v>
      </c>
      <c r="F5" s="1" t="s">
        <v>23</v>
      </c>
      <c r="G5" s="6">
        <f>VLOOKUP(F5,Select!C:H,6,FALSE)</f>
        <v>1</v>
      </c>
      <c r="H5" s="24" t="s">
        <v>1273</v>
      </c>
      <c r="I5" s="24">
        <v>7</v>
      </c>
      <c r="J5" s="24"/>
      <c r="K5" s="24"/>
      <c r="L5" s="24"/>
      <c r="M5" s="24" t="b">
        <v>0</v>
      </c>
      <c r="N5" s="24" t="s">
        <v>477</v>
      </c>
      <c r="O5" s="15">
        <f>VLOOKUP(N5,Select!D:H,5,FALSE)</f>
        <v>0</v>
      </c>
    </row>
    <row r="6" spans="1:15">
      <c r="A6" s="23">
        <v>105004</v>
      </c>
      <c r="B6" s="5" t="s">
        <v>1</v>
      </c>
      <c r="C6" s="6">
        <f>VLOOKUP(B6,Select!A:H,8,FALSE)</f>
        <v>0</v>
      </c>
      <c r="D6" s="5" t="s">
        <v>36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24" t="s">
        <v>1274</v>
      </c>
      <c r="I6" s="24">
        <v>2</v>
      </c>
      <c r="J6" s="24">
        <v>2</v>
      </c>
      <c r="K6" s="24">
        <v>2</v>
      </c>
      <c r="L6" s="24"/>
      <c r="M6" s="24" t="b">
        <v>0</v>
      </c>
      <c r="N6" s="24" t="s">
        <v>477</v>
      </c>
      <c r="O6" s="15">
        <f>VLOOKUP(N6,Select!D:H,5,FALSE)</f>
        <v>0</v>
      </c>
    </row>
    <row r="7" spans="1:15">
      <c r="A7" s="23">
        <v>105005</v>
      </c>
      <c r="B7" s="1" t="s">
        <v>1</v>
      </c>
      <c r="C7" s="6">
        <f>VLOOKUP(B7,Select!A:H,8,FALSE)</f>
        <v>0</v>
      </c>
      <c r="D7" s="1" t="s">
        <v>36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24" t="s">
        <v>1275</v>
      </c>
      <c r="I7" s="24">
        <v>5</v>
      </c>
      <c r="J7" s="24">
        <v>3</v>
      </c>
      <c r="K7" s="24">
        <v>5</v>
      </c>
      <c r="L7" s="24"/>
      <c r="M7" s="24" t="b">
        <v>0</v>
      </c>
      <c r="N7" s="24" t="s">
        <v>477</v>
      </c>
      <c r="O7" s="15">
        <f>VLOOKUP(N7,Select!D:H,5,FALSE)</f>
        <v>0</v>
      </c>
    </row>
    <row r="8" spans="1:15">
      <c r="A8" s="23">
        <v>105006</v>
      </c>
      <c r="B8" s="5" t="s">
        <v>1</v>
      </c>
      <c r="C8" s="6">
        <f>VLOOKUP(B8,Select!A:H,8,FALSE)</f>
        <v>0</v>
      </c>
      <c r="D8" s="5" t="s">
        <v>36</v>
      </c>
      <c r="E8" s="6">
        <f>VLOOKUP(D8,Select!B:H,7,FALSE)</f>
        <v>1</v>
      </c>
      <c r="F8" s="5" t="s">
        <v>3</v>
      </c>
      <c r="G8" s="6">
        <f>VLOOKUP(F8,Select!C:H,6,FALSE)</f>
        <v>0</v>
      </c>
      <c r="H8" s="24" t="s">
        <v>1276</v>
      </c>
      <c r="I8" s="24">
        <v>6</v>
      </c>
      <c r="J8" s="24">
        <v>4</v>
      </c>
      <c r="K8" s="24">
        <v>5</v>
      </c>
      <c r="L8" s="24"/>
      <c r="M8" s="24" t="b">
        <v>0</v>
      </c>
      <c r="N8" s="24" t="s">
        <v>477</v>
      </c>
      <c r="O8" s="15">
        <f>VLOOKUP(N8,Select!D:H,5,FALSE)</f>
        <v>0</v>
      </c>
    </row>
    <row r="9" spans="1:15">
      <c r="A9" s="23">
        <v>105007</v>
      </c>
      <c r="B9" s="1" t="s">
        <v>1</v>
      </c>
      <c r="C9" s="6">
        <f>VLOOKUP(B9,Select!A:H,8,FALSE)</f>
        <v>0</v>
      </c>
      <c r="D9" s="1" t="s">
        <v>36</v>
      </c>
      <c r="E9" s="6">
        <f>VLOOKUP(D9,Select!B:H,7,FALSE)</f>
        <v>1</v>
      </c>
      <c r="F9" s="1" t="s">
        <v>23</v>
      </c>
      <c r="G9" s="6">
        <f>VLOOKUP(F9,Select!C:H,6,FALSE)</f>
        <v>1</v>
      </c>
      <c r="H9" s="24" t="s">
        <v>1277</v>
      </c>
      <c r="I9" s="24">
        <v>1</v>
      </c>
      <c r="J9" s="24"/>
      <c r="K9" s="24"/>
      <c r="L9" s="24"/>
      <c r="M9" s="24" t="b">
        <v>0</v>
      </c>
      <c r="N9" s="24" t="s">
        <v>477</v>
      </c>
      <c r="O9" s="15">
        <f>VLOOKUP(N9,Select!D:H,5,FALSE)</f>
        <v>0</v>
      </c>
    </row>
    <row r="10" spans="1:15">
      <c r="A10" s="23">
        <v>105008</v>
      </c>
      <c r="B10" s="5" t="s">
        <v>1</v>
      </c>
      <c r="C10" s="6">
        <f>VLOOKUP(B10,Select!A:H,8,FALSE)</f>
        <v>0</v>
      </c>
      <c r="D10" s="5" t="s">
        <v>21</v>
      </c>
      <c r="E10" s="6">
        <f>VLOOKUP(D10,Select!B:H,7,FALSE)</f>
        <v>2</v>
      </c>
      <c r="F10" s="5" t="s">
        <v>3</v>
      </c>
      <c r="G10" s="6">
        <f>VLOOKUP(F10,Select!C:H,6,FALSE)</f>
        <v>0</v>
      </c>
      <c r="H10" s="24" t="s">
        <v>1278</v>
      </c>
      <c r="I10" s="24">
        <v>3</v>
      </c>
      <c r="J10" s="24">
        <v>2</v>
      </c>
      <c r="K10" s="24">
        <v>5</v>
      </c>
      <c r="L10" s="24"/>
      <c r="M10" s="24" t="b">
        <v>0</v>
      </c>
      <c r="N10" s="24" t="s">
        <v>477</v>
      </c>
      <c r="O10" s="15">
        <f>VLOOKUP(N10,Select!D:H,5,FALSE)</f>
        <v>0</v>
      </c>
    </row>
    <row r="11" spans="1:15">
      <c r="A11" s="23">
        <v>105009</v>
      </c>
      <c r="B11" s="1" t="s">
        <v>1</v>
      </c>
      <c r="C11" s="6">
        <f>VLOOKUP(B11,Select!A:H,8,FALSE)</f>
        <v>0</v>
      </c>
      <c r="D11" s="1" t="s">
        <v>21</v>
      </c>
      <c r="E11" s="6">
        <f>VLOOKUP(D11,Select!B:H,7,FALSE)</f>
        <v>2</v>
      </c>
      <c r="F11" s="1" t="s">
        <v>3</v>
      </c>
      <c r="G11" s="6">
        <f>VLOOKUP(F11,Select!C:H,6,FALSE)</f>
        <v>0</v>
      </c>
      <c r="H11" s="24" t="s">
        <v>1279</v>
      </c>
      <c r="I11" s="24">
        <v>5</v>
      </c>
      <c r="J11" s="24">
        <v>3</v>
      </c>
      <c r="K11" s="24">
        <v>4</v>
      </c>
      <c r="L11" s="24"/>
      <c r="M11" s="24" t="b">
        <v>0</v>
      </c>
      <c r="N11" s="24" t="s">
        <v>477</v>
      </c>
      <c r="O11" s="15">
        <f>VLOOKUP(N11,Select!D:H,5,FALSE)</f>
        <v>0</v>
      </c>
    </row>
    <row r="12" spans="1:15">
      <c r="A12" s="23">
        <v>105010</v>
      </c>
      <c r="B12" s="5" t="s">
        <v>1</v>
      </c>
      <c r="C12" s="6">
        <f>VLOOKUP(B12,Select!A:H,8,FALSE)</f>
        <v>0</v>
      </c>
      <c r="D12" s="5" t="s">
        <v>21</v>
      </c>
      <c r="E12" s="6">
        <f>VLOOKUP(D12,Select!B:H,7,FALSE)</f>
        <v>2</v>
      </c>
      <c r="F12" s="5" t="s">
        <v>3</v>
      </c>
      <c r="G12" s="6">
        <f>VLOOKUP(F12,Select!C:H,6,FALSE)</f>
        <v>0</v>
      </c>
      <c r="H12" s="24" t="s">
        <v>1280</v>
      </c>
      <c r="I12" s="24">
        <v>5</v>
      </c>
      <c r="J12" s="24">
        <v>4</v>
      </c>
      <c r="K12" s="24">
        <v>4</v>
      </c>
      <c r="L12" s="24"/>
      <c r="M12" s="24" t="b">
        <v>0</v>
      </c>
      <c r="N12" s="24" t="s">
        <v>477</v>
      </c>
      <c r="O12" s="15">
        <f>VLOOKUP(N12,Select!D:H,5,FALSE)</f>
        <v>0</v>
      </c>
    </row>
    <row r="13" spans="1:15">
      <c r="A13" s="23">
        <v>105011</v>
      </c>
      <c r="B13" s="1" t="s">
        <v>1</v>
      </c>
      <c r="C13" s="6">
        <f>VLOOKUP(B13,Select!A:H,8,FALSE)</f>
        <v>0</v>
      </c>
      <c r="D13" s="1" t="s">
        <v>30</v>
      </c>
      <c r="E13" s="6">
        <f>VLOOKUP(D13,Select!B:H,7,FALSE)</f>
        <v>3</v>
      </c>
      <c r="F13" s="1" t="s">
        <v>3</v>
      </c>
      <c r="G13" s="6">
        <f>VLOOKUP(F13,Select!C:H,6,FALSE)</f>
        <v>0</v>
      </c>
      <c r="H13" s="24" t="s">
        <v>1281</v>
      </c>
      <c r="I13" s="24">
        <v>4</v>
      </c>
      <c r="J13" s="24">
        <v>3</v>
      </c>
      <c r="K13" s="24">
        <v>4</v>
      </c>
      <c r="L13" s="24"/>
      <c r="M13" s="24" t="b">
        <v>0</v>
      </c>
      <c r="N13" s="24" t="s">
        <v>477</v>
      </c>
      <c r="O13" s="15">
        <f>VLOOKUP(N13,Select!D:H,5,FALSE)</f>
        <v>0</v>
      </c>
    </row>
    <row r="14" spans="1:15">
      <c r="A14" s="23">
        <v>105012</v>
      </c>
      <c r="B14" s="5" t="s">
        <v>1</v>
      </c>
      <c r="C14" s="6">
        <f>VLOOKUP(B14,Select!A:H,8,FALSE)</f>
        <v>0</v>
      </c>
      <c r="D14" s="5" t="s">
        <v>30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24" t="s">
        <v>1282</v>
      </c>
      <c r="I14" s="24">
        <v>10</v>
      </c>
      <c r="J14" s="24">
        <v>7</v>
      </c>
      <c r="K14" s="24">
        <v>7</v>
      </c>
      <c r="L14" s="24"/>
      <c r="M14" s="24" t="b">
        <v>0</v>
      </c>
      <c r="N14" s="24" t="s">
        <v>477</v>
      </c>
      <c r="O14" s="15">
        <f>VLOOKUP(N14,Select!D:H,5,FALSE)</f>
        <v>0</v>
      </c>
    </row>
    <row r="15" spans="1:15">
      <c r="A15" s="23">
        <v>105013</v>
      </c>
      <c r="B15" s="1" t="s">
        <v>1</v>
      </c>
      <c r="C15" s="6">
        <f>VLOOKUP(B15,Select!A:H,8,FALSE)</f>
        <v>0</v>
      </c>
      <c r="D15" s="1" t="s">
        <v>10</v>
      </c>
      <c r="E15" s="6">
        <f>VLOOKUP(D15,Select!B:H,7,FALSE)</f>
        <v>0</v>
      </c>
      <c r="F15" s="1" t="s">
        <v>3</v>
      </c>
      <c r="G15" s="6">
        <f>VLOOKUP(F15,Select!C:H,6,FALSE)</f>
        <v>0</v>
      </c>
      <c r="H15" s="24" t="s">
        <v>1283</v>
      </c>
      <c r="I15" s="24">
        <v>3</v>
      </c>
      <c r="J15" s="24">
        <v>1</v>
      </c>
      <c r="K15" s="24">
        <v>3</v>
      </c>
      <c r="L15" s="24"/>
      <c r="M15" s="24" t="b">
        <v>1</v>
      </c>
      <c r="N15" s="24" t="s">
        <v>477</v>
      </c>
      <c r="O15" s="15">
        <f>VLOOKUP(N15,Select!D:H,5,FALSE)</f>
        <v>0</v>
      </c>
    </row>
    <row r="16" spans="1:15">
      <c r="A16" s="23">
        <v>105014</v>
      </c>
      <c r="B16" s="5" t="s">
        <v>1</v>
      </c>
      <c r="C16" s="6">
        <f>VLOOKUP(B16,Select!A:H,8,FALSE)</f>
        <v>0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24" t="s">
        <v>1284</v>
      </c>
      <c r="I16" s="24">
        <v>3</v>
      </c>
      <c r="J16" s="24">
        <v>1</v>
      </c>
      <c r="K16" s="24">
        <v>3</v>
      </c>
      <c r="L16" s="24"/>
      <c r="M16" s="24" t="b">
        <v>1</v>
      </c>
      <c r="N16" s="24" t="s">
        <v>477</v>
      </c>
      <c r="O16" s="15">
        <f>VLOOKUP(N16,Select!D:H,5,FALSE)</f>
        <v>0</v>
      </c>
    </row>
    <row r="17" spans="1:15">
      <c r="A17" s="23">
        <v>105015</v>
      </c>
      <c r="B17" s="1" t="s">
        <v>1</v>
      </c>
      <c r="C17" s="6">
        <f>VLOOKUP(B17,Select!A:H,8,FALSE)</f>
        <v>0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24" t="s">
        <v>1285</v>
      </c>
      <c r="I17" s="24">
        <v>3</v>
      </c>
      <c r="J17" s="24">
        <v>1</v>
      </c>
      <c r="K17" s="24">
        <v>3</v>
      </c>
      <c r="L17" s="24"/>
      <c r="M17" s="24" t="b">
        <v>1</v>
      </c>
      <c r="N17" s="24" t="s">
        <v>477</v>
      </c>
      <c r="O17" s="15">
        <f>VLOOKUP(N17,Select!D:H,5,FALSE)</f>
        <v>0</v>
      </c>
    </row>
    <row r="18" spans="1:15">
      <c r="A18" s="23">
        <v>105016</v>
      </c>
      <c r="B18" s="5" t="s">
        <v>1</v>
      </c>
      <c r="C18" s="6">
        <f>VLOOKUP(B18,Select!A:H,8,FALSE)</f>
        <v>0</v>
      </c>
      <c r="D18" s="5" t="s">
        <v>10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24" t="s">
        <v>1286</v>
      </c>
      <c r="I18" s="24">
        <v>5</v>
      </c>
      <c r="J18" s="24">
        <v>4</v>
      </c>
      <c r="K18" s="24">
        <v>5</v>
      </c>
      <c r="L18" s="24"/>
      <c r="M18" s="24" t="b">
        <v>1</v>
      </c>
      <c r="N18" s="24" t="s">
        <v>477</v>
      </c>
      <c r="O18" s="15">
        <f>VLOOKUP(N18,Select!D:H,5,FALSE)</f>
        <v>0</v>
      </c>
    </row>
    <row r="19" spans="1:15">
      <c r="A19" s="23">
        <v>105100</v>
      </c>
      <c r="B19" s="1" t="s">
        <v>24</v>
      </c>
      <c r="C19" s="6">
        <f>VLOOKUP(B19,Select!A:H,8,FALSE)</f>
        <v>1</v>
      </c>
      <c r="D19" s="1" t="s">
        <v>10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24" t="s">
        <v>1287</v>
      </c>
      <c r="I19" s="24">
        <v>2</v>
      </c>
      <c r="J19" s="24">
        <v>2</v>
      </c>
      <c r="K19" s="24">
        <v>2</v>
      </c>
      <c r="L19" s="24"/>
      <c r="M19" s="24" t="b">
        <v>0</v>
      </c>
      <c r="N19" s="24" t="s">
        <v>477</v>
      </c>
      <c r="O19" s="15">
        <f>VLOOKUP(N19,Select!D:H,5,FALSE)</f>
        <v>0</v>
      </c>
    </row>
    <row r="20" spans="1:15">
      <c r="A20" s="23">
        <v>105101</v>
      </c>
      <c r="B20" s="5" t="s">
        <v>24</v>
      </c>
      <c r="C20" s="6">
        <f>VLOOKUP(B20,Select!A:H,8,FALSE)</f>
        <v>1</v>
      </c>
      <c r="D20" s="5" t="s">
        <v>10</v>
      </c>
      <c r="E20" s="6">
        <f>VLOOKUP(D20,Select!B:H,7,FALSE)</f>
        <v>0</v>
      </c>
      <c r="F20" s="5" t="s">
        <v>3</v>
      </c>
      <c r="G20" s="6">
        <f>VLOOKUP(F20,Select!C:H,6,FALSE)</f>
        <v>0</v>
      </c>
      <c r="H20" s="24" t="s">
        <v>1288</v>
      </c>
      <c r="I20" s="24">
        <v>3</v>
      </c>
      <c r="J20" s="24">
        <v>2</v>
      </c>
      <c r="K20" s="24">
        <v>3</v>
      </c>
      <c r="L20" s="24"/>
      <c r="M20" s="24" t="b">
        <v>0</v>
      </c>
      <c r="N20" s="24" t="s">
        <v>477</v>
      </c>
      <c r="O20" s="15">
        <f>VLOOKUP(N20,Select!D:H,5,FALSE)</f>
        <v>0</v>
      </c>
    </row>
    <row r="21" spans="1:15">
      <c r="A21" s="23">
        <v>105102</v>
      </c>
      <c r="B21" s="1" t="s">
        <v>24</v>
      </c>
      <c r="C21" s="6">
        <f>VLOOKUP(B21,Select!A:H,8,FALSE)</f>
        <v>1</v>
      </c>
      <c r="D21" s="1" t="s">
        <v>10</v>
      </c>
      <c r="E21" s="6">
        <f>VLOOKUP(D21,Select!B:H,7,FALSE)</f>
        <v>0</v>
      </c>
      <c r="F21" s="1" t="s">
        <v>3</v>
      </c>
      <c r="G21" s="6">
        <f>VLOOKUP(F21,Select!C:H,6,FALSE)</f>
        <v>0</v>
      </c>
      <c r="H21" s="24" t="s">
        <v>1289</v>
      </c>
      <c r="I21" s="24">
        <v>4</v>
      </c>
      <c r="J21" s="24">
        <v>2</v>
      </c>
      <c r="K21" s="24">
        <v>4</v>
      </c>
      <c r="L21" s="24"/>
      <c r="M21" s="24" t="b">
        <v>0</v>
      </c>
      <c r="N21" s="24" t="s">
        <v>477</v>
      </c>
      <c r="O21" s="15">
        <f>VLOOKUP(N21,Select!D:H,5,FALSE)</f>
        <v>0</v>
      </c>
    </row>
    <row r="22" spans="1:15">
      <c r="A22" s="23">
        <v>105103</v>
      </c>
      <c r="B22" s="5" t="s">
        <v>24</v>
      </c>
      <c r="C22" s="6">
        <f>VLOOKUP(B22,Select!A:H,8,FALSE)</f>
        <v>1</v>
      </c>
      <c r="D22" s="5" t="s">
        <v>10</v>
      </c>
      <c r="E22" s="6">
        <f>VLOOKUP(D22,Select!B:H,7,FALSE)</f>
        <v>0</v>
      </c>
      <c r="F22" s="5" t="s">
        <v>34</v>
      </c>
      <c r="G22" s="6">
        <f>VLOOKUP(F22,Select!C:H,6,FALSE)</f>
        <v>2</v>
      </c>
      <c r="H22" s="24" t="s">
        <v>1290</v>
      </c>
      <c r="I22" s="24">
        <v>3</v>
      </c>
      <c r="J22" s="24"/>
      <c r="K22" s="24"/>
      <c r="L22" s="24"/>
      <c r="M22" s="24" t="b">
        <v>0</v>
      </c>
      <c r="N22" s="24" t="s">
        <v>477</v>
      </c>
      <c r="O22" s="15">
        <f>VLOOKUP(N22,Select!D:H,5,FALSE)</f>
        <v>0</v>
      </c>
    </row>
    <row r="23" spans="1:15">
      <c r="A23" s="23">
        <v>105104</v>
      </c>
      <c r="B23" s="1" t="s">
        <v>24</v>
      </c>
      <c r="C23" s="6">
        <f>VLOOKUP(B23,Select!A:H,8,FALSE)</f>
        <v>1</v>
      </c>
      <c r="D23" s="1" t="s">
        <v>36</v>
      </c>
      <c r="E23" s="6">
        <f>VLOOKUP(D23,Select!B:H,7,FALSE)</f>
        <v>1</v>
      </c>
      <c r="F23" s="1" t="s">
        <v>3</v>
      </c>
      <c r="G23" s="6">
        <f>VLOOKUP(F23,Select!C:H,6,FALSE)</f>
        <v>0</v>
      </c>
      <c r="H23" s="24" t="s">
        <v>1291</v>
      </c>
      <c r="I23" s="24">
        <v>2</v>
      </c>
      <c r="J23" s="24">
        <v>2</v>
      </c>
      <c r="K23" s="24">
        <v>2</v>
      </c>
      <c r="L23" s="24"/>
      <c r="M23" s="24" t="b">
        <v>0</v>
      </c>
      <c r="N23" s="24" t="s">
        <v>477</v>
      </c>
      <c r="O23" s="15">
        <f>VLOOKUP(N23,Select!D:H,5,FALSE)</f>
        <v>0</v>
      </c>
    </row>
    <row r="24" spans="1:15">
      <c r="A24" s="23">
        <v>105105</v>
      </c>
      <c r="B24" s="5" t="s">
        <v>24</v>
      </c>
      <c r="C24" s="6">
        <f>VLOOKUP(B24,Select!A:H,8,FALSE)</f>
        <v>1</v>
      </c>
      <c r="D24" s="5" t="s">
        <v>36</v>
      </c>
      <c r="E24" s="6">
        <f>VLOOKUP(D24,Select!B:H,7,FALSE)</f>
        <v>1</v>
      </c>
      <c r="F24" s="5" t="s">
        <v>3</v>
      </c>
      <c r="G24" s="6">
        <f>VLOOKUP(F24,Select!C:H,6,FALSE)</f>
        <v>0</v>
      </c>
      <c r="H24" s="24" t="s">
        <v>1292</v>
      </c>
      <c r="I24" s="24">
        <v>4</v>
      </c>
      <c r="J24" s="24">
        <v>3</v>
      </c>
      <c r="K24" s="24">
        <v>3</v>
      </c>
      <c r="L24" s="24"/>
      <c r="M24" s="24" t="b">
        <v>0</v>
      </c>
      <c r="N24" s="24" t="s">
        <v>477</v>
      </c>
      <c r="O24" s="15">
        <f>VLOOKUP(N24,Select!D:H,5,FALSE)</f>
        <v>0</v>
      </c>
    </row>
    <row r="25" spans="1:15">
      <c r="A25" s="23">
        <v>105106</v>
      </c>
      <c r="B25" s="1" t="s">
        <v>24</v>
      </c>
      <c r="C25" s="6">
        <f>VLOOKUP(B25,Select!A:H,8,FALSE)</f>
        <v>1</v>
      </c>
      <c r="D25" s="1" t="s">
        <v>36</v>
      </c>
      <c r="E25" s="6">
        <f>VLOOKUP(D25,Select!B:H,7,FALSE)</f>
        <v>1</v>
      </c>
      <c r="F25" s="1" t="s">
        <v>3</v>
      </c>
      <c r="G25" s="6">
        <f>VLOOKUP(F25,Select!C:H,6,FALSE)</f>
        <v>0</v>
      </c>
      <c r="H25" s="24" t="s">
        <v>1293</v>
      </c>
      <c r="I25" s="24">
        <v>6</v>
      </c>
      <c r="J25" s="24">
        <v>4</v>
      </c>
      <c r="K25" s="24">
        <v>5</v>
      </c>
      <c r="L25" s="24"/>
      <c r="M25" s="24" t="b">
        <v>0</v>
      </c>
      <c r="N25" s="24" t="s">
        <v>477</v>
      </c>
      <c r="O25" s="15">
        <f>VLOOKUP(N25,Select!D:H,5,FALSE)</f>
        <v>0</v>
      </c>
    </row>
    <row r="26" spans="1:15">
      <c r="A26" s="23">
        <v>105107</v>
      </c>
      <c r="B26" s="5" t="s">
        <v>24</v>
      </c>
      <c r="C26" s="6">
        <f>VLOOKUP(B26,Select!A:H,8,FALSE)</f>
        <v>1</v>
      </c>
      <c r="D26" s="5" t="s">
        <v>36</v>
      </c>
      <c r="E26" s="6">
        <f>VLOOKUP(D26,Select!B:H,7,FALSE)</f>
        <v>1</v>
      </c>
      <c r="F26" s="5" t="s">
        <v>34</v>
      </c>
      <c r="G26" s="6">
        <f>VLOOKUP(F26,Select!C:H,6,FALSE)</f>
        <v>2</v>
      </c>
      <c r="H26" s="24" t="s">
        <v>1294</v>
      </c>
      <c r="I26" s="24">
        <v>2</v>
      </c>
      <c r="J26" s="24"/>
      <c r="K26" s="24"/>
      <c r="L26" s="24"/>
      <c r="M26" s="24" t="b">
        <v>0</v>
      </c>
      <c r="N26" s="24" t="s">
        <v>477</v>
      </c>
      <c r="O26" s="15">
        <f>VLOOKUP(N26,Select!D:H,5,FALSE)</f>
        <v>0</v>
      </c>
    </row>
    <row r="27" spans="1:15">
      <c r="A27" s="23">
        <v>105108</v>
      </c>
      <c r="B27" s="1" t="s">
        <v>24</v>
      </c>
      <c r="C27" s="6">
        <f>VLOOKUP(B27,Select!A:H,8,FALSE)</f>
        <v>1</v>
      </c>
      <c r="D27" s="1" t="s">
        <v>21</v>
      </c>
      <c r="E27" s="6">
        <f>VLOOKUP(D27,Select!B:H,7,FALSE)</f>
        <v>2</v>
      </c>
      <c r="F27" s="1" t="s">
        <v>3</v>
      </c>
      <c r="G27" s="6">
        <f>VLOOKUP(F27,Select!C:H,6,FALSE)</f>
        <v>0</v>
      </c>
      <c r="H27" s="24" t="s">
        <v>1295</v>
      </c>
      <c r="I27" s="24">
        <v>3</v>
      </c>
      <c r="J27" s="24">
        <v>1</v>
      </c>
      <c r="K27" s="24">
        <v>4</v>
      </c>
      <c r="L27" s="24"/>
      <c r="M27" s="24" t="b">
        <v>0</v>
      </c>
      <c r="N27" s="24" t="s">
        <v>477</v>
      </c>
      <c r="O27" s="15">
        <f>VLOOKUP(N27,Select!D:H,5,FALSE)</f>
        <v>0</v>
      </c>
    </row>
    <row r="28" spans="1:15">
      <c r="A28" s="23">
        <v>105109</v>
      </c>
      <c r="B28" s="5" t="s">
        <v>24</v>
      </c>
      <c r="C28" s="6">
        <f>VLOOKUP(B28,Select!A:H,8,FALSE)</f>
        <v>1</v>
      </c>
      <c r="D28" s="5" t="s">
        <v>21</v>
      </c>
      <c r="E28" s="6">
        <f>VLOOKUP(D28,Select!B:H,7,FALSE)</f>
        <v>2</v>
      </c>
      <c r="F28" s="5" t="s">
        <v>3</v>
      </c>
      <c r="G28" s="6">
        <f>VLOOKUP(F28,Select!C:H,6,FALSE)</f>
        <v>0</v>
      </c>
      <c r="H28" s="24" t="s">
        <v>1296</v>
      </c>
      <c r="I28" s="24">
        <v>4</v>
      </c>
      <c r="J28" s="24">
        <v>3</v>
      </c>
      <c r="K28" s="24">
        <v>3</v>
      </c>
      <c r="L28" s="24"/>
      <c r="M28" s="24" t="b">
        <v>0</v>
      </c>
      <c r="N28" s="24" t="s">
        <v>477</v>
      </c>
      <c r="O28" s="15">
        <f>VLOOKUP(N28,Select!D:H,5,FALSE)</f>
        <v>0</v>
      </c>
    </row>
    <row r="29" spans="1:15">
      <c r="A29" s="23">
        <v>105110</v>
      </c>
      <c r="B29" s="1" t="s">
        <v>24</v>
      </c>
      <c r="C29" s="6">
        <f>VLOOKUP(B29,Select!A:H,8,FALSE)</f>
        <v>1</v>
      </c>
      <c r="D29" s="1" t="s">
        <v>21</v>
      </c>
      <c r="E29" s="6">
        <f>VLOOKUP(D29,Select!B:H,7,FALSE)</f>
        <v>2</v>
      </c>
      <c r="F29" s="1" t="s">
        <v>23</v>
      </c>
      <c r="G29" s="6">
        <f>VLOOKUP(F29,Select!C:H,6,FALSE)</f>
        <v>1</v>
      </c>
      <c r="H29" s="24" t="s">
        <v>1297</v>
      </c>
      <c r="I29" s="24">
        <v>2</v>
      </c>
      <c r="J29" s="24"/>
      <c r="K29" s="24"/>
      <c r="L29" s="24"/>
      <c r="M29" s="24" t="b">
        <v>0</v>
      </c>
      <c r="N29" s="24" t="s">
        <v>477</v>
      </c>
      <c r="O29" s="15">
        <f>VLOOKUP(N29,Select!D:H,5,FALSE)</f>
        <v>0</v>
      </c>
    </row>
    <row r="30" spans="1:15">
      <c r="A30" s="23">
        <v>105111</v>
      </c>
      <c r="B30" s="5" t="s">
        <v>24</v>
      </c>
      <c r="C30" s="6">
        <f>VLOOKUP(B30,Select!A:H,8,FALSE)</f>
        <v>1</v>
      </c>
      <c r="D30" s="5" t="s">
        <v>30</v>
      </c>
      <c r="E30" s="6">
        <f>VLOOKUP(D30,Select!B:H,7,FALSE)</f>
        <v>3</v>
      </c>
      <c r="F30" s="5" t="s">
        <v>3</v>
      </c>
      <c r="G30" s="6">
        <f>VLOOKUP(F30,Select!C:H,6,FALSE)</f>
        <v>0</v>
      </c>
      <c r="H30" s="24" t="s">
        <v>1298</v>
      </c>
      <c r="I30" s="24">
        <v>2</v>
      </c>
      <c r="J30" s="24">
        <v>0</v>
      </c>
      <c r="K30" s="24">
        <v>4</v>
      </c>
      <c r="L30" s="24"/>
      <c r="M30" s="24" t="b">
        <v>0</v>
      </c>
      <c r="N30" s="24" t="s">
        <v>477</v>
      </c>
      <c r="O30" s="15">
        <f>VLOOKUP(N30,Select!D:H,5,FALSE)</f>
        <v>0</v>
      </c>
    </row>
    <row r="31" spans="1:15">
      <c r="A31" s="23">
        <v>105112</v>
      </c>
      <c r="B31" s="1" t="s">
        <v>24</v>
      </c>
      <c r="C31" s="6">
        <f>VLOOKUP(B31,Select!A:H,8,FALSE)</f>
        <v>1</v>
      </c>
      <c r="D31" s="1" t="s">
        <v>30</v>
      </c>
      <c r="E31" s="6">
        <f>VLOOKUP(D31,Select!B:H,7,FALSE)</f>
        <v>3</v>
      </c>
      <c r="F31" s="1" t="s">
        <v>3</v>
      </c>
      <c r="G31" s="6">
        <f>VLOOKUP(F31,Select!C:H,6,FALSE)</f>
        <v>0</v>
      </c>
      <c r="H31" s="24" t="s">
        <v>1299</v>
      </c>
      <c r="I31" s="24">
        <v>6</v>
      </c>
      <c r="J31" s="24">
        <v>5</v>
      </c>
      <c r="K31" s="24">
        <v>6</v>
      </c>
      <c r="L31" s="24"/>
      <c r="M31" s="24" t="b">
        <v>0</v>
      </c>
      <c r="N31" s="24" t="s">
        <v>477</v>
      </c>
      <c r="O31" s="15">
        <f>VLOOKUP(N31,Select!D:H,5,FALSE)</f>
        <v>0</v>
      </c>
    </row>
    <row r="32" spans="1:15">
      <c r="A32" s="23">
        <v>105200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24" t="s">
        <v>1300</v>
      </c>
      <c r="I32" s="24">
        <v>3</v>
      </c>
      <c r="J32" s="24">
        <v>2</v>
      </c>
      <c r="K32" s="24">
        <v>3</v>
      </c>
      <c r="L32" s="24"/>
      <c r="M32" s="24" t="b">
        <v>0</v>
      </c>
      <c r="N32" s="24" t="s">
        <v>460</v>
      </c>
      <c r="O32" s="15">
        <f>VLOOKUP(N32,Select!D:H,5,FALSE)</f>
        <v>1</v>
      </c>
    </row>
    <row r="33" spans="1:15">
      <c r="A33" s="23">
        <v>105201</v>
      </c>
      <c r="B33" s="1" t="s">
        <v>25</v>
      </c>
      <c r="C33" s="6">
        <f>VLOOKUP(B33,Select!A:H,8,FALSE)</f>
        <v>2</v>
      </c>
      <c r="D33" s="1" t="s">
        <v>10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24" t="s">
        <v>1301</v>
      </c>
      <c r="I33" s="24">
        <v>5</v>
      </c>
      <c r="J33" s="24">
        <v>3</v>
      </c>
      <c r="K33" s="24">
        <v>2</v>
      </c>
      <c r="L33" s="24"/>
      <c r="M33" s="24" t="b">
        <v>0</v>
      </c>
      <c r="N33" s="24" t="s">
        <v>460</v>
      </c>
      <c r="O33" s="15">
        <f>VLOOKUP(N33,Select!D:H,5,FALSE)</f>
        <v>1</v>
      </c>
    </row>
    <row r="34" spans="1:15">
      <c r="A34" s="23">
        <v>105202</v>
      </c>
      <c r="B34" s="5" t="s">
        <v>25</v>
      </c>
      <c r="C34" s="6">
        <f>VLOOKUP(B34,Select!A:H,8,FALSE)</f>
        <v>2</v>
      </c>
      <c r="D34" s="5" t="s">
        <v>10</v>
      </c>
      <c r="E34" s="6">
        <f>VLOOKUP(D34,Select!B:H,7,FALSE)</f>
        <v>0</v>
      </c>
      <c r="F34" s="5" t="s">
        <v>3</v>
      </c>
      <c r="G34" s="6">
        <f>VLOOKUP(F34,Select!C:H,6,FALSE)</f>
        <v>0</v>
      </c>
      <c r="H34" s="24" t="s">
        <v>1302</v>
      </c>
      <c r="I34" s="24">
        <v>6</v>
      </c>
      <c r="J34" s="24">
        <v>6</v>
      </c>
      <c r="K34" s="24">
        <v>5</v>
      </c>
      <c r="L34" s="24"/>
      <c r="M34" s="24" t="b">
        <v>0</v>
      </c>
      <c r="N34" s="24" t="s">
        <v>460</v>
      </c>
      <c r="O34" s="15">
        <f>VLOOKUP(N34,Select!D:H,5,FALSE)</f>
        <v>1</v>
      </c>
    </row>
    <row r="35" spans="1:15">
      <c r="A35" s="23">
        <v>105203</v>
      </c>
      <c r="B35" s="1" t="s">
        <v>25</v>
      </c>
      <c r="C35" s="6">
        <f>VLOOKUP(B35,Select!A:H,8,FALSE)</f>
        <v>2</v>
      </c>
      <c r="D35" s="1" t="s">
        <v>10</v>
      </c>
      <c r="E35" s="6">
        <f>VLOOKUP(D35,Select!B:H,7,FALSE)</f>
        <v>0</v>
      </c>
      <c r="F35" s="1" t="s">
        <v>23</v>
      </c>
      <c r="G35" s="6">
        <f>VLOOKUP(F35,Select!C:H,6,FALSE)</f>
        <v>1</v>
      </c>
      <c r="H35" s="24" t="s">
        <v>1303</v>
      </c>
      <c r="I35" s="24">
        <v>3</v>
      </c>
      <c r="J35" s="24"/>
      <c r="K35" s="24"/>
      <c r="L35" s="24"/>
      <c r="M35" s="24" t="b">
        <v>0</v>
      </c>
      <c r="N35" s="24" t="s">
        <v>477</v>
      </c>
      <c r="O35" s="15">
        <f>VLOOKUP(N35,Select!D:H,5,FALSE)</f>
        <v>0</v>
      </c>
    </row>
    <row r="36" spans="1:15">
      <c r="A36" s="23">
        <v>105204</v>
      </c>
      <c r="B36" s="5" t="s">
        <v>25</v>
      </c>
      <c r="C36" s="6">
        <f>VLOOKUP(B36,Select!A:H,8,FALSE)</f>
        <v>2</v>
      </c>
      <c r="D36" s="5" t="s">
        <v>36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24" t="s">
        <v>1304</v>
      </c>
      <c r="I36" s="24">
        <v>2</v>
      </c>
      <c r="J36" s="24">
        <v>1</v>
      </c>
      <c r="K36" s="24">
        <v>3</v>
      </c>
      <c r="L36" s="24"/>
      <c r="M36" s="24" t="b">
        <v>0</v>
      </c>
      <c r="N36" s="24" t="s">
        <v>460</v>
      </c>
      <c r="O36" s="15">
        <f>VLOOKUP(N36,Select!D:H,5,FALSE)</f>
        <v>1</v>
      </c>
    </row>
    <row r="37" spans="1:15">
      <c r="A37" s="23">
        <v>105205</v>
      </c>
      <c r="B37" s="1" t="s">
        <v>25</v>
      </c>
      <c r="C37" s="6">
        <f>VLOOKUP(B37,Select!A:H,8,FALSE)</f>
        <v>2</v>
      </c>
      <c r="D37" s="1" t="s">
        <v>36</v>
      </c>
      <c r="E37" s="6">
        <f>VLOOKUP(D37,Select!B:H,7,FALSE)</f>
        <v>1</v>
      </c>
      <c r="F37" s="1" t="s">
        <v>3</v>
      </c>
      <c r="G37" s="6">
        <f>VLOOKUP(F37,Select!C:H,6,FALSE)</f>
        <v>0</v>
      </c>
      <c r="H37" s="24" t="s">
        <v>1305</v>
      </c>
      <c r="I37" s="24">
        <v>3</v>
      </c>
      <c r="J37" s="24">
        <v>2</v>
      </c>
      <c r="K37" s="24">
        <v>2</v>
      </c>
      <c r="L37" s="24"/>
      <c r="M37" s="24" t="b">
        <v>0</v>
      </c>
      <c r="N37" s="24" t="s">
        <v>460</v>
      </c>
      <c r="O37" s="15">
        <f>VLOOKUP(N37,Select!D:H,5,FALSE)</f>
        <v>1</v>
      </c>
    </row>
    <row r="38" spans="1:15">
      <c r="A38" s="23">
        <v>105206</v>
      </c>
      <c r="B38" s="5" t="s">
        <v>25</v>
      </c>
      <c r="C38" s="6">
        <f>VLOOKUP(B38,Select!A:H,8,FALSE)</f>
        <v>2</v>
      </c>
      <c r="D38" s="5" t="s">
        <v>36</v>
      </c>
      <c r="E38" s="6">
        <f>VLOOKUP(D38,Select!B:H,7,FALSE)</f>
        <v>1</v>
      </c>
      <c r="F38" s="5" t="s">
        <v>3</v>
      </c>
      <c r="G38" s="6">
        <f>VLOOKUP(F38,Select!C:H,6,FALSE)</f>
        <v>0</v>
      </c>
      <c r="H38" s="24" t="s">
        <v>1306</v>
      </c>
      <c r="I38" s="24">
        <v>3</v>
      </c>
      <c r="J38" s="24">
        <v>1</v>
      </c>
      <c r="K38" s="24">
        <v>4</v>
      </c>
      <c r="L38" s="24"/>
      <c r="M38" s="24" t="b">
        <v>0</v>
      </c>
      <c r="N38" s="24" t="s">
        <v>460</v>
      </c>
      <c r="O38" s="15">
        <f>VLOOKUP(N38,Select!D:H,5,FALSE)</f>
        <v>1</v>
      </c>
    </row>
    <row r="39" spans="1:15">
      <c r="A39" s="23">
        <v>105207</v>
      </c>
      <c r="B39" s="1" t="s">
        <v>25</v>
      </c>
      <c r="C39" s="6">
        <f>VLOOKUP(B39,Select!A:H,8,FALSE)</f>
        <v>2</v>
      </c>
      <c r="D39" s="1" t="s">
        <v>36</v>
      </c>
      <c r="E39" s="6">
        <f>VLOOKUP(D39,Select!B:H,7,FALSE)</f>
        <v>1</v>
      </c>
      <c r="F39" s="1" t="s">
        <v>23</v>
      </c>
      <c r="G39" s="6">
        <f>VLOOKUP(F39,Select!C:H,6,FALSE)</f>
        <v>1</v>
      </c>
      <c r="H39" s="24" t="s">
        <v>1307</v>
      </c>
      <c r="I39" s="24">
        <v>2</v>
      </c>
      <c r="J39" s="24"/>
      <c r="K39" s="24"/>
      <c r="L39" s="24"/>
      <c r="M39" s="24" t="b">
        <v>0</v>
      </c>
      <c r="N39" s="24" t="s">
        <v>477</v>
      </c>
      <c r="O39" s="15">
        <f>VLOOKUP(N39,Select!D:H,5,FALSE)</f>
        <v>0</v>
      </c>
    </row>
    <row r="40" spans="1:15">
      <c r="A40" s="23">
        <v>105208</v>
      </c>
      <c r="B40" s="5" t="s">
        <v>25</v>
      </c>
      <c r="C40" s="6">
        <f>VLOOKUP(B40,Select!A:H,8,FALSE)</f>
        <v>2</v>
      </c>
      <c r="D40" s="5" t="s">
        <v>21</v>
      </c>
      <c r="E40" s="6">
        <f>VLOOKUP(D40,Select!B:H,7,FALSE)</f>
        <v>2</v>
      </c>
      <c r="F40" s="5" t="s">
        <v>3</v>
      </c>
      <c r="G40" s="6">
        <f>VLOOKUP(F40,Select!C:H,6,FALSE)</f>
        <v>0</v>
      </c>
      <c r="H40" s="24" t="s">
        <v>1308</v>
      </c>
      <c r="I40" s="24">
        <v>2</v>
      </c>
      <c r="J40" s="24">
        <v>2</v>
      </c>
      <c r="K40" s="24">
        <v>2</v>
      </c>
      <c r="L40" s="24"/>
      <c r="M40" s="24" t="b">
        <v>0</v>
      </c>
      <c r="N40" s="24" t="s">
        <v>460</v>
      </c>
      <c r="O40" s="15">
        <f>VLOOKUP(N40,Select!D:H,5,FALSE)</f>
        <v>1</v>
      </c>
    </row>
    <row r="41" spans="1:15">
      <c r="A41" s="23">
        <v>105209</v>
      </c>
      <c r="B41" s="1" t="s">
        <v>25</v>
      </c>
      <c r="C41" s="6">
        <f>VLOOKUP(B41,Select!A:H,8,FALSE)</f>
        <v>2</v>
      </c>
      <c r="D41" s="1" t="s">
        <v>21</v>
      </c>
      <c r="E41" s="6">
        <f>VLOOKUP(D41,Select!B:H,7,FALSE)</f>
        <v>2</v>
      </c>
      <c r="F41" s="1" t="s">
        <v>3</v>
      </c>
      <c r="G41" s="6">
        <f>VLOOKUP(F41,Select!C:H,6,FALSE)</f>
        <v>0</v>
      </c>
      <c r="H41" s="24" t="s">
        <v>1309</v>
      </c>
      <c r="I41" s="24">
        <v>5</v>
      </c>
      <c r="J41" s="24">
        <v>3</v>
      </c>
      <c r="K41" s="24">
        <v>4</v>
      </c>
      <c r="L41" s="24"/>
      <c r="M41" s="24" t="b">
        <v>0</v>
      </c>
      <c r="N41" s="24" t="s">
        <v>460</v>
      </c>
      <c r="O41" s="15">
        <f>VLOOKUP(N41,Select!D:H,5,FALSE)</f>
        <v>1</v>
      </c>
    </row>
    <row r="42" spans="1:15">
      <c r="A42" s="23">
        <v>105210</v>
      </c>
      <c r="B42" s="5" t="s">
        <v>25</v>
      </c>
      <c r="C42" s="6">
        <f>VLOOKUP(B42,Select!A:H,8,FALSE)</f>
        <v>2</v>
      </c>
      <c r="D42" s="5" t="s">
        <v>21</v>
      </c>
      <c r="E42" s="6">
        <f>VLOOKUP(D42,Select!B:H,7,FALSE)</f>
        <v>2</v>
      </c>
      <c r="F42" s="5" t="s">
        <v>23</v>
      </c>
      <c r="G42" s="6">
        <f>VLOOKUP(F42,Select!C:H,6,FALSE)</f>
        <v>1</v>
      </c>
      <c r="H42" s="24" t="s">
        <v>1310</v>
      </c>
      <c r="I42" s="24">
        <v>5</v>
      </c>
      <c r="J42" s="24"/>
      <c r="K42" s="24"/>
      <c r="L42" s="24"/>
      <c r="M42" s="24" t="b">
        <v>0</v>
      </c>
      <c r="N42" s="24" t="s">
        <v>477</v>
      </c>
      <c r="O42" s="15">
        <f>VLOOKUP(N42,Select!D:H,5,FALSE)</f>
        <v>0</v>
      </c>
    </row>
    <row r="43" spans="1:15">
      <c r="A43" s="23">
        <v>105211</v>
      </c>
      <c r="B43" s="1" t="s">
        <v>25</v>
      </c>
      <c r="C43" s="6">
        <f>VLOOKUP(B43,Select!A:H,8,FALSE)</f>
        <v>2</v>
      </c>
      <c r="D43" s="1" t="s">
        <v>30</v>
      </c>
      <c r="E43" s="6">
        <f>VLOOKUP(D43,Select!B:H,7,FALSE)</f>
        <v>3</v>
      </c>
      <c r="F43" s="1" t="s">
        <v>3</v>
      </c>
      <c r="G43" s="6">
        <f>VLOOKUP(F43,Select!C:H,6,FALSE)</f>
        <v>0</v>
      </c>
      <c r="H43" s="24" t="s">
        <v>1311</v>
      </c>
      <c r="I43" s="24">
        <v>3</v>
      </c>
      <c r="J43" s="24">
        <v>4</v>
      </c>
      <c r="K43" s="24">
        <v>4</v>
      </c>
      <c r="L43" s="24"/>
      <c r="M43" s="24" t="b">
        <v>0</v>
      </c>
      <c r="N43" s="24" t="s">
        <v>656</v>
      </c>
      <c r="O43" s="15">
        <f>VLOOKUP(N43,Select!D:H,5,FALSE)</f>
        <v>16</v>
      </c>
    </row>
    <row r="44" spans="1:15">
      <c r="A44" s="23">
        <v>105212</v>
      </c>
      <c r="B44" s="5" t="s">
        <v>25</v>
      </c>
      <c r="C44" s="6">
        <f>VLOOKUP(B44,Select!A:H,8,FALSE)</f>
        <v>2</v>
      </c>
      <c r="D44" s="5" t="s">
        <v>30</v>
      </c>
      <c r="E44" s="6">
        <f>VLOOKUP(D44,Select!B:H,7,FALSE)</f>
        <v>3</v>
      </c>
      <c r="F44" s="5" t="s">
        <v>3</v>
      </c>
      <c r="G44" s="6">
        <f>VLOOKUP(F44,Select!C:H,6,FALSE)</f>
        <v>0</v>
      </c>
      <c r="H44" s="24" t="s">
        <v>1312</v>
      </c>
      <c r="I44" s="24">
        <v>8</v>
      </c>
      <c r="J44" s="24">
        <v>6</v>
      </c>
      <c r="K44" s="24">
        <v>10</v>
      </c>
      <c r="L44" s="24"/>
      <c r="M44" s="24" t="b">
        <v>0</v>
      </c>
      <c r="N44" s="24" t="s">
        <v>460</v>
      </c>
      <c r="O44" s="15">
        <f>VLOOKUP(N44,Select!D:H,5,FALSE)</f>
        <v>1</v>
      </c>
    </row>
    <row r="45" spans="1:15">
      <c r="A45" s="23">
        <v>105300</v>
      </c>
      <c r="B45" s="1" t="s">
        <v>22</v>
      </c>
      <c r="C45" s="6">
        <f>VLOOKUP(B45,Select!A:H,8,FALSE)</f>
        <v>3</v>
      </c>
      <c r="D45" s="1" t="s">
        <v>10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24" t="s">
        <v>1313</v>
      </c>
      <c r="I45" s="24">
        <v>2</v>
      </c>
      <c r="J45" s="24">
        <v>2</v>
      </c>
      <c r="K45" s="24">
        <v>2</v>
      </c>
      <c r="L45" s="24"/>
      <c r="M45" s="24" t="b">
        <v>0</v>
      </c>
      <c r="N45" s="24" t="s">
        <v>477</v>
      </c>
      <c r="O45" s="15">
        <f>VLOOKUP(N45,Select!D:H,5,FALSE)</f>
        <v>0</v>
      </c>
    </row>
    <row r="46" spans="1:15">
      <c r="A46" s="23">
        <v>105301</v>
      </c>
      <c r="B46" s="5" t="s">
        <v>22</v>
      </c>
      <c r="C46" s="6">
        <f>VLOOKUP(B46,Select!A:H,8,FALSE)</f>
        <v>3</v>
      </c>
      <c r="D46" s="5" t="s">
        <v>10</v>
      </c>
      <c r="E46" s="6">
        <f>VLOOKUP(D46,Select!B:H,7,FALSE)</f>
        <v>0</v>
      </c>
      <c r="F46" s="5" t="s">
        <v>3</v>
      </c>
      <c r="G46" s="6">
        <f>VLOOKUP(F46,Select!C:H,6,FALSE)</f>
        <v>0</v>
      </c>
      <c r="H46" s="24" t="s">
        <v>1314</v>
      </c>
      <c r="I46" s="24">
        <v>2</v>
      </c>
      <c r="J46" s="24">
        <v>2</v>
      </c>
      <c r="K46" s="24">
        <v>1</v>
      </c>
      <c r="L46" s="24"/>
      <c r="M46" s="24" t="b">
        <v>0</v>
      </c>
      <c r="N46" s="24" t="s">
        <v>482</v>
      </c>
      <c r="O46" s="15">
        <f>VLOOKUP(N46,Select!D:H,5,FALSE)</f>
        <v>7</v>
      </c>
    </row>
    <row r="47" spans="1:15">
      <c r="A47" s="23">
        <v>105302</v>
      </c>
      <c r="B47" s="1" t="s">
        <v>22</v>
      </c>
      <c r="C47" s="6">
        <f>VLOOKUP(B47,Select!A:H,8,FALSE)</f>
        <v>3</v>
      </c>
      <c r="D47" s="1" t="s">
        <v>10</v>
      </c>
      <c r="E47" s="6">
        <f>VLOOKUP(D47,Select!B:H,7,FALSE)</f>
        <v>0</v>
      </c>
      <c r="F47" s="1" t="s">
        <v>3</v>
      </c>
      <c r="G47" s="6">
        <f>VLOOKUP(F47,Select!C:H,6,FALSE)</f>
        <v>0</v>
      </c>
      <c r="H47" s="24" t="s">
        <v>1315</v>
      </c>
      <c r="I47" s="24">
        <v>4</v>
      </c>
      <c r="J47" s="24">
        <v>3</v>
      </c>
      <c r="K47" s="24">
        <v>4</v>
      </c>
      <c r="L47" s="24"/>
      <c r="M47" s="24" t="b">
        <v>0</v>
      </c>
      <c r="N47" s="24" t="s">
        <v>477</v>
      </c>
      <c r="O47" s="15">
        <f>VLOOKUP(N47,Select!D:H,5,FALSE)</f>
        <v>0</v>
      </c>
    </row>
    <row r="48" spans="1:15">
      <c r="A48" s="23">
        <v>105303</v>
      </c>
      <c r="B48" s="5" t="s">
        <v>22</v>
      </c>
      <c r="C48" s="6">
        <f>VLOOKUP(B48,Select!A:H,8,FALSE)</f>
        <v>3</v>
      </c>
      <c r="D48" s="5" t="s">
        <v>10</v>
      </c>
      <c r="E48" s="6">
        <f>VLOOKUP(D48,Select!B:H,7,FALSE)</f>
        <v>0</v>
      </c>
      <c r="F48" s="5" t="s">
        <v>34</v>
      </c>
      <c r="G48" s="6">
        <f>VLOOKUP(F48,Select!C:H,6,FALSE)</f>
        <v>2</v>
      </c>
      <c r="H48" s="24" t="s">
        <v>1316</v>
      </c>
      <c r="I48" s="24">
        <v>1</v>
      </c>
      <c r="J48" s="24"/>
      <c r="K48" s="24"/>
      <c r="L48" s="24"/>
      <c r="M48" s="24" t="b">
        <v>0</v>
      </c>
      <c r="N48" s="24" t="s">
        <v>465</v>
      </c>
      <c r="O48" s="15">
        <f>VLOOKUP(N48,Select!D:H,5,FALSE)</f>
        <v>6</v>
      </c>
    </row>
    <row r="49" spans="1:15">
      <c r="A49" s="23">
        <v>105304</v>
      </c>
      <c r="B49" s="1" t="s">
        <v>22</v>
      </c>
      <c r="C49" s="6">
        <f>VLOOKUP(B49,Select!A:H,8,FALSE)</f>
        <v>3</v>
      </c>
      <c r="D49" s="1" t="s">
        <v>36</v>
      </c>
      <c r="E49" s="6">
        <f>VLOOKUP(D49,Select!B:H,7,FALSE)</f>
        <v>1</v>
      </c>
      <c r="F49" s="1" t="s">
        <v>3</v>
      </c>
      <c r="G49" s="6">
        <f>VLOOKUP(F49,Select!C:H,6,FALSE)</f>
        <v>0</v>
      </c>
      <c r="H49" s="24" t="s">
        <v>1317</v>
      </c>
      <c r="I49" s="24">
        <v>3</v>
      </c>
      <c r="J49" s="24">
        <v>1</v>
      </c>
      <c r="K49" s="24">
        <v>2</v>
      </c>
      <c r="L49" s="24"/>
      <c r="M49" s="24" t="b">
        <v>0</v>
      </c>
      <c r="N49" s="24" t="s">
        <v>482</v>
      </c>
      <c r="O49" s="15">
        <f>VLOOKUP(N49,Select!D:H,5,FALSE)</f>
        <v>7</v>
      </c>
    </row>
    <row r="50" spans="1:15">
      <c r="A50" s="23">
        <v>105305</v>
      </c>
      <c r="B50" s="5" t="s">
        <v>22</v>
      </c>
      <c r="C50" s="6">
        <f>VLOOKUP(B50,Select!A:H,8,FALSE)</f>
        <v>3</v>
      </c>
      <c r="D50" s="5" t="s">
        <v>36</v>
      </c>
      <c r="E50" s="6">
        <f>VLOOKUP(D50,Select!B:H,7,FALSE)</f>
        <v>1</v>
      </c>
      <c r="F50" s="5" t="s">
        <v>3</v>
      </c>
      <c r="G50" s="6">
        <f>VLOOKUP(F50,Select!C:H,6,FALSE)</f>
        <v>0</v>
      </c>
      <c r="H50" s="24" t="s">
        <v>1318</v>
      </c>
      <c r="I50" s="24">
        <v>5</v>
      </c>
      <c r="J50" s="24">
        <v>4</v>
      </c>
      <c r="K50" s="24">
        <v>4</v>
      </c>
      <c r="L50" s="24"/>
      <c r="M50" s="24" t="b">
        <v>0</v>
      </c>
      <c r="N50" s="24" t="s">
        <v>477</v>
      </c>
      <c r="O50" s="15">
        <f>VLOOKUP(N50,Select!D:H,5,FALSE)</f>
        <v>0</v>
      </c>
    </row>
    <row r="51" spans="1:15">
      <c r="A51" s="23">
        <v>105306</v>
      </c>
      <c r="B51" s="1" t="s">
        <v>22</v>
      </c>
      <c r="C51" s="6">
        <f>VLOOKUP(B51,Select!A:H,8,FALSE)</f>
        <v>3</v>
      </c>
      <c r="D51" s="1" t="s">
        <v>36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24" t="s">
        <v>1319</v>
      </c>
      <c r="I51" s="24">
        <v>6</v>
      </c>
      <c r="J51" s="24">
        <v>5</v>
      </c>
      <c r="K51" s="24">
        <v>6</v>
      </c>
      <c r="L51" s="24"/>
      <c r="M51" s="24" t="b">
        <v>0</v>
      </c>
      <c r="N51" s="24" t="s">
        <v>482</v>
      </c>
      <c r="O51" s="15">
        <f>VLOOKUP(N51,Select!D:H,5,FALSE)</f>
        <v>7</v>
      </c>
    </row>
    <row r="52" spans="1:15">
      <c r="A52" s="23">
        <v>105307</v>
      </c>
      <c r="B52" s="5" t="s">
        <v>22</v>
      </c>
      <c r="C52" s="6">
        <f>VLOOKUP(B52,Select!A:H,8,FALSE)</f>
        <v>3</v>
      </c>
      <c r="D52" s="5" t="s">
        <v>36</v>
      </c>
      <c r="E52" s="6">
        <f>VLOOKUP(D52,Select!B:H,7,FALSE)</f>
        <v>1</v>
      </c>
      <c r="F52" s="5" t="s">
        <v>34</v>
      </c>
      <c r="G52" s="6">
        <f>VLOOKUP(F52,Select!C:H,6,FALSE)</f>
        <v>2</v>
      </c>
      <c r="H52" s="24" t="s">
        <v>1320</v>
      </c>
      <c r="I52" s="24">
        <v>3</v>
      </c>
      <c r="J52" s="24"/>
      <c r="K52" s="24"/>
      <c r="L52" s="24"/>
      <c r="M52" s="24" t="b">
        <v>0</v>
      </c>
      <c r="N52" s="24" t="s">
        <v>465</v>
      </c>
      <c r="O52" s="15">
        <f>VLOOKUP(N52,Select!D:H,5,FALSE)</f>
        <v>6</v>
      </c>
    </row>
    <row r="53" spans="1:15">
      <c r="A53" s="23">
        <v>105308</v>
      </c>
      <c r="B53" s="1" t="s">
        <v>22</v>
      </c>
      <c r="C53" s="6">
        <f>VLOOKUP(B53,Select!A:H,8,FALSE)</f>
        <v>3</v>
      </c>
      <c r="D53" s="1" t="s">
        <v>21</v>
      </c>
      <c r="E53" s="6">
        <f>VLOOKUP(D53,Select!B:H,7,FALSE)</f>
        <v>2</v>
      </c>
      <c r="F53" s="1" t="s">
        <v>3</v>
      </c>
      <c r="G53" s="6">
        <f>VLOOKUP(F53,Select!C:H,6,FALSE)</f>
        <v>0</v>
      </c>
      <c r="H53" s="24" t="s">
        <v>1321</v>
      </c>
      <c r="I53" s="24">
        <v>5</v>
      </c>
      <c r="J53" s="24">
        <v>3</v>
      </c>
      <c r="K53" s="24">
        <v>6</v>
      </c>
      <c r="L53" s="24"/>
      <c r="M53" s="24" t="b">
        <v>0</v>
      </c>
      <c r="N53" s="24" t="s">
        <v>477</v>
      </c>
      <c r="O53" s="15">
        <f>VLOOKUP(N53,Select!D:H,5,FALSE)</f>
        <v>0</v>
      </c>
    </row>
    <row r="54" spans="1:15">
      <c r="A54" s="23">
        <v>105309</v>
      </c>
      <c r="B54" s="5" t="s">
        <v>22</v>
      </c>
      <c r="C54" s="6">
        <f>VLOOKUP(B54,Select!A:H,8,FALSE)</f>
        <v>3</v>
      </c>
      <c r="D54" s="5" t="s">
        <v>21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24" t="s">
        <v>1322</v>
      </c>
      <c r="I54" s="24">
        <v>6</v>
      </c>
      <c r="J54" s="24">
        <v>4</v>
      </c>
      <c r="K54" s="24">
        <v>4</v>
      </c>
      <c r="L54" s="24"/>
      <c r="M54" s="24" t="b">
        <v>0</v>
      </c>
      <c r="N54" s="24" t="s">
        <v>477</v>
      </c>
      <c r="O54" s="15">
        <f>VLOOKUP(N54,Select!D:H,5,FALSE)</f>
        <v>0</v>
      </c>
    </row>
    <row r="55" spans="1:15">
      <c r="A55" s="23">
        <v>105310</v>
      </c>
      <c r="B55" s="1" t="s">
        <v>22</v>
      </c>
      <c r="C55" s="6">
        <f>VLOOKUP(B55,Select!A:H,8,FALSE)</f>
        <v>3</v>
      </c>
      <c r="D55" s="1" t="s">
        <v>21</v>
      </c>
      <c r="E55" s="6">
        <f>VLOOKUP(D55,Select!B:H,7,FALSE)</f>
        <v>2</v>
      </c>
      <c r="F55" s="1" t="s">
        <v>23</v>
      </c>
      <c r="G55" s="6">
        <f>VLOOKUP(F55,Select!C:H,6,FALSE)</f>
        <v>1</v>
      </c>
      <c r="H55" s="24" t="s">
        <v>1323</v>
      </c>
      <c r="I55" s="24">
        <v>2</v>
      </c>
      <c r="J55" s="24"/>
      <c r="K55" s="24"/>
      <c r="L55" s="24"/>
      <c r="M55" s="24" t="b">
        <v>0</v>
      </c>
      <c r="N55" s="24" t="s">
        <v>477</v>
      </c>
      <c r="O55" s="15">
        <f>VLOOKUP(N55,Select!D:H,5,FALSE)</f>
        <v>0</v>
      </c>
    </row>
    <row r="56" spans="1:15">
      <c r="A56" s="23">
        <v>105311</v>
      </c>
      <c r="B56" s="5" t="s">
        <v>22</v>
      </c>
      <c r="C56" s="6">
        <f>VLOOKUP(B56,Select!A:H,8,FALSE)</f>
        <v>3</v>
      </c>
      <c r="D56" s="5" t="s">
        <v>30</v>
      </c>
      <c r="E56" s="6">
        <f>VLOOKUP(D56,Select!B:H,7,FALSE)</f>
        <v>3</v>
      </c>
      <c r="F56" s="5" t="s">
        <v>3</v>
      </c>
      <c r="G56" s="6">
        <f>VLOOKUP(F56,Select!C:H,6,FALSE)</f>
        <v>0</v>
      </c>
      <c r="H56" s="24" t="s">
        <v>1324</v>
      </c>
      <c r="I56" s="24">
        <v>3</v>
      </c>
      <c r="J56" s="24">
        <v>6</v>
      </c>
      <c r="K56" s="24">
        <v>6</v>
      </c>
      <c r="L56" s="24"/>
      <c r="M56" s="24" t="b">
        <v>0</v>
      </c>
      <c r="N56" s="24" t="s">
        <v>477</v>
      </c>
      <c r="O56" s="15">
        <f>VLOOKUP(N56,Select!D:H,5,FALSE)</f>
        <v>0</v>
      </c>
    </row>
    <row r="57" spans="1:15">
      <c r="A57" s="23">
        <v>105312</v>
      </c>
      <c r="B57" s="1" t="s">
        <v>22</v>
      </c>
      <c r="C57" s="6">
        <f>VLOOKUP(B57,Select!A:H,8,FALSE)</f>
        <v>3</v>
      </c>
      <c r="D57" s="1" t="s">
        <v>30</v>
      </c>
      <c r="E57" s="6">
        <f>VLOOKUP(D57,Select!B:H,7,FALSE)</f>
        <v>3</v>
      </c>
      <c r="F57" s="1" t="s">
        <v>3</v>
      </c>
      <c r="G57" s="6">
        <f>VLOOKUP(F57,Select!C:H,6,FALSE)</f>
        <v>0</v>
      </c>
      <c r="H57" s="24" t="s">
        <v>1325</v>
      </c>
      <c r="I57" s="24">
        <v>5</v>
      </c>
      <c r="J57" s="24">
        <v>4</v>
      </c>
      <c r="K57" s="24">
        <v>5</v>
      </c>
      <c r="L57" s="24"/>
      <c r="M57" s="24" t="b">
        <v>0</v>
      </c>
      <c r="N57" s="24" t="s">
        <v>477</v>
      </c>
      <c r="O57" s="15">
        <f>VLOOKUP(N57,Select!D:H,5,FALSE)</f>
        <v>0</v>
      </c>
    </row>
    <row r="58" spans="1:15">
      <c r="A58" s="23">
        <v>105400</v>
      </c>
      <c r="B58" s="5" t="s">
        <v>26</v>
      </c>
      <c r="C58" s="6">
        <f>VLOOKUP(B58,Select!A:H,8,FALSE)</f>
        <v>4</v>
      </c>
      <c r="D58" s="5" t="s">
        <v>10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24" t="s">
        <v>1326</v>
      </c>
      <c r="I58" s="24">
        <v>2</v>
      </c>
      <c r="J58" s="24">
        <v>1</v>
      </c>
      <c r="K58" s="24">
        <v>2</v>
      </c>
      <c r="L58" s="24"/>
      <c r="M58" s="24" t="b">
        <v>0</v>
      </c>
      <c r="N58" s="24" t="s">
        <v>477</v>
      </c>
      <c r="O58" s="15">
        <f>VLOOKUP(N58,Select!D:H,5,FALSE)</f>
        <v>0</v>
      </c>
    </row>
    <row r="59" spans="1:15">
      <c r="A59" s="23">
        <v>105401</v>
      </c>
      <c r="B59" s="1" t="s">
        <v>26</v>
      </c>
      <c r="C59" s="6">
        <f>VLOOKUP(B59,Select!A:H,8,FALSE)</f>
        <v>4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24" t="s">
        <v>1327</v>
      </c>
      <c r="I59" s="24">
        <v>4</v>
      </c>
      <c r="J59" s="24">
        <v>2</v>
      </c>
      <c r="K59" s="24">
        <v>4</v>
      </c>
      <c r="L59" s="24"/>
      <c r="M59" s="24" t="b">
        <v>0</v>
      </c>
      <c r="N59" s="24" t="s">
        <v>477</v>
      </c>
      <c r="O59" s="15">
        <f>VLOOKUP(N59,Select!D:H,5,FALSE)</f>
        <v>0</v>
      </c>
    </row>
    <row r="60" spans="1:15">
      <c r="A60" s="23">
        <v>105402</v>
      </c>
      <c r="B60" s="5" t="s">
        <v>26</v>
      </c>
      <c r="C60" s="6">
        <f>VLOOKUP(B60,Select!A:H,8,FALSE)</f>
        <v>4</v>
      </c>
      <c r="D60" s="5" t="s">
        <v>10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24" t="s">
        <v>1328</v>
      </c>
      <c r="I60" s="24">
        <v>7</v>
      </c>
      <c r="J60" s="24">
        <v>6</v>
      </c>
      <c r="K60" s="24">
        <v>8</v>
      </c>
      <c r="L60" s="24"/>
      <c r="M60" s="24" t="b">
        <v>0</v>
      </c>
      <c r="N60" s="24" t="s">
        <v>477</v>
      </c>
      <c r="O60" s="15">
        <f>VLOOKUP(N60,Select!D:H,5,FALSE)</f>
        <v>0</v>
      </c>
    </row>
    <row r="61" spans="1:15">
      <c r="A61" s="23">
        <v>105403</v>
      </c>
      <c r="B61" s="1" t="s">
        <v>26</v>
      </c>
      <c r="C61" s="6">
        <f>VLOOKUP(B61,Select!A:H,8,FALSE)</f>
        <v>4</v>
      </c>
      <c r="D61" s="1" t="s">
        <v>10</v>
      </c>
      <c r="E61" s="6">
        <f>VLOOKUP(D61,Select!B:H,7,FALSE)</f>
        <v>0</v>
      </c>
      <c r="F61" s="1" t="s">
        <v>34</v>
      </c>
      <c r="G61" s="6">
        <f>VLOOKUP(F61,Select!C:H,6,FALSE)</f>
        <v>2</v>
      </c>
      <c r="H61" s="24" t="s">
        <v>1329</v>
      </c>
      <c r="I61" s="24">
        <v>4</v>
      </c>
      <c r="J61" s="24"/>
      <c r="K61" s="24"/>
      <c r="L61" s="24"/>
      <c r="M61" s="24" t="b">
        <v>0</v>
      </c>
      <c r="N61" s="24" t="s">
        <v>477</v>
      </c>
      <c r="O61" s="15">
        <f>VLOOKUP(N61,Select!D:H,5,FALSE)</f>
        <v>0</v>
      </c>
    </row>
    <row r="62" spans="1:15">
      <c r="A62" s="23">
        <v>105404</v>
      </c>
      <c r="B62" s="5" t="s">
        <v>26</v>
      </c>
      <c r="C62" s="6">
        <f>VLOOKUP(B62,Select!A:H,8,FALSE)</f>
        <v>4</v>
      </c>
      <c r="D62" s="5" t="s">
        <v>36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24" t="s">
        <v>1330</v>
      </c>
      <c r="I62" s="24">
        <v>3</v>
      </c>
      <c r="J62" s="24">
        <v>1</v>
      </c>
      <c r="K62" s="24">
        <v>4</v>
      </c>
      <c r="L62" s="24"/>
      <c r="M62" s="24" t="b">
        <v>0</v>
      </c>
      <c r="N62" s="24" t="s">
        <v>477</v>
      </c>
      <c r="O62" s="15">
        <f>VLOOKUP(N62,Select!D:H,5,FALSE)</f>
        <v>0</v>
      </c>
    </row>
    <row r="63" spans="1:15">
      <c r="A63" s="23">
        <v>105405</v>
      </c>
      <c r="B63" s="1" t="s">
        <v>26</v>
      </c>
      <c r="C63" s="6">
        <f>VLOOKUP(B63,Select!A:H,8,FALSE)</f>
        <v>4</v>
      </c>
      <c r="D63" s="1" t="s">
        <v>36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24" t="s">
        <v>1331</v>
      </c>
      <c r="I63" s="24">
        <v>5</v>
      </c>
      <c r="J63" s="24">
        <v>2</v>
      </c>
      <c r="K63" s="24">
        <v>4</v>
      </c>
      <c r="L63" s="24"/>
      <c r="M63" s="24" t="b">
        <v>0</v>
      </c>
      <c r="N63" s="24" t="s">
        <v>477</v>
      </c>
      <c r="O63" s="15">
        <f>VLOOKUP(N63,Select!D:H,5,FALSE)</f>
        <v>0</v>
      </c>
    </row>
    <row r="64" spans="1:15">
      <c r="A64" s="23">
        <v>105406</v>
      </c>
      <c r="B64" s="5" t="s">
        <v>26</v>
      </c>
      <c r="C64" s="6">
        <f>VLOOKUP(B64,Select!A:H,8,FALSE)</f>
        <v>4</v>
      </c>
      <c r="D64" s="5" t="s">
        <v>36</v>
      </c>
      <c r="E64" s="6">
        <f>VLOOKUP(D64,Select!B:H,7,FALSE)</f>
        <v>1</v>
      </c>
      <c r="F64" s="5" t="s">
        <v>3</v>
      </c>
      <c r="G64" s="6">
        <f>VLOOKUP(F64,Select!C:H,6,FALSE)</f>
        <v>0</v>
      </c>
      <c r="H64" s="24" t="s">
        <v>1332</v>
      </c>
      <c r="I64" s="24">
        <v>9</v>
      </c>
      <c r="J64" s="24">
        <v>6</v>
      </c>
      <c r="K64" s="24">
        <v>8</v>
      </c>
      <c r="L64" s="24"/>
      <c r="M64" s="24" t="b">
        <v>0</v>
      </c>
      <c r="N64" s="24" t="s">
        <v>477</v>
      </c>
      <c r="O64" s="15">
        <f>VLOOKUP(N64,Select!D:H,5,FALSE)</f>
        <v>0</v>
      </c>
    </row>
    <row r="65" spans="1:15">
      <c r="A65" s="23">
        <v>105407</v>
      </c>
      <c r="B65" s="1" t="s">
        <v>26</v>
      </c>
      <c r="C65" s="6">
        <f>VLOOKUP(B65,Select!A:H,8,FALSE)</f>
        <v>4</v>
      </c>
      <c r="D65" s="1" t="s">
        <v>36</v>
      </c>
      <c r="E65" s="6">
        <f>VLOOKUP(D65,Select!B:H,7,FALSE)</f>
        <v>1</v>
      </c>
      <c r="F65" s="1" t="s">
        <v>23</v>
      </c>
      <c r="G65" s="6">
        <f>VLOOKUP(F65,Select!C:H,6,FALSE)</f>
        <v>1</v>
      </c>
      <c r="H65" s="24" t="s">
        <v>1333</v>
      </c>
      <c r="I65" s="24">
        <v>6</v>
      </c>
      <c r="J65" s="24"/>
      <c r="K65" s="24"/>
      <c r="L65" s="24"/>
      <c r="M65" s="24" t="b">
        <v>0</v>
      </c>
      <c r="N65" s="24" t="s">
        <v>477</v>
      </c>
      <c r="O65" s="15">
        <f>VLOOKUP(N65,Select!D:H,5,FALSE)</f>
        <v>0</v>
      </c>
    </row>
    <row r="66" spans="1:15">
      <c r="A66" s="23">
        <v>105408</v>
      </c>
      <c r="B66" s="5" t="s">
        <v>26</v>
      </c>
      <c r="C66" s="6">
        <f>VLOOKUP(B66,Select!A:H,8,FALSE)</f>
        <v>4</v>
      </c>
      <c r="D66" s="5" t="s">
        <v>21</v>
      </c>
      <c r="E66" s="6">
        <f>VLOOKUP(D66,Select!B:H,7,FALSE)</f>
        <v>2</v>
      </c>
      <c r="F66" s="5" t="s">
        <v>3</v>
      </c>
      <c r="G66" s="6">
        <f>VLOOKUP(F66,Select!C:H,6,FALSE)</f>
        <v>0</v>
      </c>
      <c r="H66" s="24" t="s">
        <v>1334</v>
      </c>
      <c r="I66" s="24">
        <v>3</v>
      </c>
      <c r="J66" s="24">
        <v>5</v>
      </c>
      <c r="K66" s="24">
        <v>6</v>
      </c>
      <c r="L66" s="24"/>
      <c r="M66" s="24" t="b">
        <v>0</v>
      </c>
      <c r="N66" s="24" t="s">
        <v>477</v>
      </c>
      <c r="O66" s="15">
        <f>VLOOKUP(N66,Select!D:H,5,FALSE)</f>
        <v>0</v>
      </c>
    </row>
    <row r="67" spans="1:15">
      <c r="A67" s="23">
        <v>105409</v>
      </c>
      <c r="B67" s="1" t="s">
        <v>26</v>
      </c>
      <c r="C67" s="6">
        <f>VLOOKUP(B67,Select!A:H,8,FALSE)</f>
        <v>4</v>
      </c>
      <c r="D67" s="1" t="s">
        <v>21</v>
      </c>
      <c r="E67" s="6">
        <f>VLOOKUP(D67,Select!B:H,7,FALSE)</f>
        <v>2</v>
      </c>
      <c r="F67" s="1" t="s">
        <v>3</v>
      </c>
      <c r="G67" s="6">
        <f>VLOOKUP(F67,Select!C:H,6,FALSE)</f>
        <v>0</v>
      </c>
      <c r="H67" s="24" t="s">
        <v>1335</v>
      </c>
      <c r="I67" s="24">
        <v>3</v>
      </c>
      <c r="J67" s="24">
        <v>0</v>
      </c>
      <c r="K67" s="24">
        <v>5</v>
      </c>
      <c r="L67" s="24"/>
      <c r="M67" s="24" t="b">
        <v>0</v>
      </c>
      <c r="N67" s="24" t="s">
        <v>477</v>
      </c>
      <c r="O67" s="15">
        <f>VLOOKUP(N67,Select!D:H,5,FALSE)</f>
        <v>0</v>
      </c>
    </row>
    <row r="68" spans="1:15">
      <c r="A68" s="23">
        <v>105410</v>
      </c>
      <c r="B68" s="5" t="s">
        <v>26</v>
      </c>
      <c r="C68" s="6">
        <f>VLOOKUP(B68,Select!A:H,8,FALSE)</f>
        <v>4</v>
      </c>
      <c r="D68" s="5" t="s">
        <v>21</v>
      </c>
      <c r="E68" s="6">
        <f>VLOOKUP(D68,Select!B:H,7,FALSE)</f>
        <v>2</v>
      </c>
      <c r="F68" s="5" t="s">
        <v>34</v>
      </c>
      <c r="G68" s="6">
        <f>VLOOKUP(F68,Select!C:H,6,FALSE)</f>
        <v>2</v>
      </c>
      <c r="H68" s="24" t="s">
        <v>1336</v>
      </c>
      <c r="I68" s="24">
        <v>7</v>
      </c>
      <c r="J68" s="24"/>
      <c r="K68" s="24"/>
      <c r="L68" s="24"/>
      <c r="M68" s="24" t="b">
        <v>0</v>
      </c>
      <c r="N68" s="24" t="s">
        <v>477</v>
      </c>
      <c r="O68" s="15">
        <f>VLOOKUP(N68,Select!D:H,5,FALSE)</f>
        <v>0</v>
      </c>
    </row>
    <row r="69" spans="1:15">
      <c r="A69" s="23">
        <v>105411</v>
      </c>
      <c r="B69" s="1" t="s">
        <v>26</v>
      </c>
      <c r="C69" s="6">
        <f>VLOOKUP(B69,Select!A:H,8,FALSE)</f>
        <v>4</v>
      </c>
      <c r="D69" s="1" t="s">
        <v>30</v>
      </c>
      <c r="E69" s="6">
        <f>VLOOKUP(D69,Select!B:H,7,FALSE)</f>
        <v>3</v>
      </c>
      <c r="F69" s="1" t="s">
        <v>3</v>
      </c>
      <c r="G69" s="6">
        <f>VLOOKUP(F69,Select!C:H,6,FALSE)</f>
        <v>0</v>
      </c>
      <c r="H69" s="24" t="s">
        <v>1337</v>
      </c>
      <c r="I69" s="24">
        <v>8</v>
      </c>
      <c r="J69" s="24">
        <v>7</v>
      </c>
      <c r="K69" s="24">
        <v>7</v>
      </c>
      <c r="L69" s="24"/>
      <c r="M69" s="24" t="b">
        <v>0</v>
      </c>
      <c r="N69" s="24" t="s">
        <v>477</v>
      </c>
      <c r="O69" s="15">
        <f>VLOOKUP(N69,Select!D:H,5,FALSE)</f>
        <v>0</v>
      </c>
    </row>
    <row r="70" spans="1:15">
      <c r="A70" s="23">
        <v>105412</v>
      </c>
      <c r="B70" s="5" t="s">
        <v>26</v>
      </c>
      <c r="C70" s="6">
        <f>VLOOKUP(B70,Select!A:H,8,FALSE)</f>
        <v>4</v>
      </c>
      <c r="D70" s="5" t="s">
        <v>30</v>
      </c>
      <c r="E70" s="6">
        <f>VLOOKUP(D70,Select!B:H,7,FALSE)</f>
        <v>3</v>
      </c>
      <c r="F70" s="5" t="s">
        <v>3</v>
      </c>
      <c r="G70" s="6">
        <f>VLOOKUP(F70,Select!C:H,6,FALSE)</f>
        <v>0</v>
      </c>
      <c r="H70" s="24" t="s">
        <v>1338</v>
      </c>
      <c r="I70" s="24">
        <v>9</v>
      </c>
      <c r="J70" s="24">
        <v>5</v>
      </c>
      <c r="K70" s="24">
        <v>6</v>
      </c>
      <c r="L70" s="24"/>
      <c r="M70" s="24" t="b">
        <v>0</v>
      </c>
      <c r="N70" s="24" t="s">
        <v>477</v>
      </c>
      <c r="O70" s="15">
        <f>VLOOKUP(N70,Select!D:H,5,FALSE)</f>
        <v>0</v>
      </c>
    </row>
    <row r="71" spans="1:15">
      <c r="A71" s="23">
        <v>105500</v>
      </c>
      <c r="B71" s="1" t="s">
        <v>534</v>
      </c>
      <c r="C71" s="6">
        <f>VLOOKUP(B71,Select!A:H,8,FALSE)</f>
        <v>8</v>
      </c>
      <c r="D71" s="1" t="s">
        <v>10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24" t="s">
        <v>1339</v>
      </c>
      <c r="I71" s="24">
        <v>2</v>
      </c>
      <c r="J71" s="24">
        <v>1</v>
      </c>
      <c r="K71" s="24">
        <v>2</v>
      </c>
      <c r="L71" s="24"/>
      <c r="M71" s="24" t="b">
        <v>0</v>
      </c>
      <c r="N71" s="24" t="s">
        <v>477</v>
      </c>
      <c r="O71" s="15">
        <f>VLOOKUP(N71,Select!D:H,5,FALSE)</f>
        <v>0</v>
      </c>
    </row>
    <row r="72" spans="1:15">
      <c r="A72" s="23">
        <v>105501</v>
      </c>
      <c r="B72" s="5" t="s">
        <v>534</v>
      </c>
      <c r="C72" s="6">
        <f>VLOOKUP(B72,Select!A:H,8,FALSE)</f>
        <v>8</v>
      </c>
      <c r="D72" s="5" t="s">
        <v>10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24" t="s">
        <v>1340</v>
      </c>
      <c r="I72" s="24">
        <v>2</v>
      </c>
      <c r="J72" s="24">
        <v>1</v>
      </c>
      <c r="K72" s="24">
        <v>4</v>
      </c>
      <c r="L72" s="24"/>
      <c r="M72" s="24" t="b">
        <v>0</v>
      </c>
      <c r="N72" s="24" t="s">
        <v>477</v>
      </c>
      <c r="O72" s="15">
        <f>VLOOKUP(N72,Select!D:H,5,FALSE)</f>
        <v>0</v>
      </c>
    </row>
    <row r="73" spans="1:15">
      <c r="A73" s="23">
        <v>105502</v>
      </c>
      <c r="B73" s="1" t="s">
        <v>534</v>
      </c>
      <c r="C73" s="6">
        <f>VLOOKUP(B73,Select!A:H,8,FALSE)</f>
        <v>8</v>
      </c>
      <c r="D73" s="1" t="s">
        <v>10</v>
      </c>
      <c r="E73" s="6">
        <f>VLOOKUP(D73,Select!B:H,7,FALSE)</f>
        <v>0</v>
      </c>
      <c r="F73" s="1" t="s">
        <v>3</v>
      </c>
      <c r="G73" s="6">
        <f>VLOOKUP(F73,Select!C:H,6,FALSE)</f>
        <v>0</v>
      </c>
      <c r="H73" s="24" t="s">
        <v>1341</v>
      </c>
      <c r="I73" s="24">
        <v>7</v>
      </c>
      <c r="J73" s="24">
        <v>4</v>
      </c>
      <c r="K73" s="24">
        <v>5</v>
      </c>
      <c r="L73" s="24"/>
      <c r="M73" s="24" t="b">
        <v>0</v>
      </c>
      <c r="N73" s="24" t="s">
        <v>477</v>
      </c>
      <c r="O73" s="15">
        <f>VLOOKUP(N73,Select!D:H,5,FALSE)</f>
        <v>0</v>
      </c>
    </row>
    <row r="74" spans="1:15">
      <c r="A74" s="23">
        <v>105503</v>
      </c>
      <c r="B74" s="5" t="s">
        <v>534</v>
      </c>
      <c r="C74" s="6">
        <f>VLOOKUP(B74,Select!A:H,8,FALSE)</f>
        <v>8</v>
      </c>
      <c r="D74" s="5" t="s">
        <v>10</v>
      </c>
      <c r="E74" s="6">
        <f>VLOOKUP(D74,Select!B:H,7,FALSE)</f>
        <v>0</v>
      </c>
      <c r="F74" s="5" t="s">
        <v>34</v>
      </c>
      <c r="G74" s="6">
        <f>VLOOKUP(F74,Select!C:H,6,FALSE)</f>
        <v>2</v>
      </c>
      <c r="H74" s="24" t="s">
        <v>1342</v>
      </c>
      <c r="I74" s="24">
        <v>1</v>
      </c>
      <c r="J74" s="24"/>
      <c r="K74" s="24"/>
      <c r="L74" s="24"/>
      <c r="M74" s="24" t="b">
        <v>0</v>
      </c>
      <c r="N74" s="24" t="s">
        <v>477</v>
      </c>
      <c r="O74" s="15">
        <f>VLOOKUP(N74,Select!D:H,5,FALSE)</f>
        <v>0</v>
      </c>
    </row>
    <row r="75" spans="1:15">
      <c r="A75" s="23">
        <v>105504</v>
      </c>
      <c r="B75" s="1" t="s">
        <v>534</v>
      </c>
      <c r="C75" s="6">
        <f>VLOOKUP(B75,Select!A:H,8,FALSE)</f>
        <v>8</v>
      </c>
      <c r="D75" s="1" t="s">
        <v>36</v>
      </c>
      <c r="E75" s="6">
        <f>VLOOKUP(D75,Select!B:H,7,FALSE)</f>
        <v>1</v>
      </c>
      <c r="F75" s="1" t="s">
        <v>3</v>
      </c>
      <c r="G75" s="6">
        <f>VLOOKUP(F75,Select!C:H,6,FALSE)</f>
        <v>0</v>
      </c>
      <c r="H75" s="24" t="s">
        <v>1343</v>
      </c>
      <c r="I75" s="24">
        <v>2</v>
      </c>
      <c r="J75" s="24">
        <v>2</v>
      </c>
      <c r="K75" s="24">
        <v>2</v>
      </c>
      <c r="L75" s="24"/>
      <c r="M75" s="24" t="b">
        <v>0</v>
      </c>
      <c r="N75" s="24" t="s">
        <v>477</v>
      </c>
      <c r="O75" s="15">
        <f>VLOOKUP(N75,Select!D:H,5,FALSE)</f>
        <v>0</v>
      </c>
    </row>
    <row r="76" spans="1:15">
      <c r="A76" s="23">
        <v>105505</v>
      </c>
      <c r="B76" s="5" t="s">
        <v>534</v>
      </c>
      <c r="C76" s="6">
        <f>VLOOKUP(B76,Select!A:H,8,FALSE)</f>
        <v>8</v>
      </c>
      <c r="D76" s="5" t="s">
        <v>36</v>
      </c>
      <c r="E76" s="6">
        <f>VLOOKUP(D76,Select!B:H,7,FALSE)</f>
        <v>1</v>
      </c>
      <c r="F76" s="5" t="s">
        <v>3</v>
      </c>
      <c r="G76" s="6">
        <f>VLOOKUP(F76,Select!C:H,6,FALSE)</f>
        <v>0</v>
      </c>
      <c r="H76" s="24" t="s">
        <v>1344</v>
      </c>
      <c r="I76" s="24">
        <v>4</v>
      </c>
      <c r="J76" s="24">
        <v>0</v>
      </c>
      <c r="K76" s="24">
        <v>3</v>
      </c>
      <c r="L76" s="24"/>
      <c r="M76" s="24" t="b">
        <v>0</v>
      </c>
      <c r="N76" s="24" t="s">
        <v>477</v>
      </c>
      <c r="O76" s="15">
        <f>VLOOKUP(N76,Select!D:H,5,FALSE)</f>
        <v>0</v>
      </c>
    </row>
    <row r="77" spans="1:15">
      <c r="A77" s="23">
        <v>105506</v>
      </c>
      <c r="B77" s="1" t="s">
        <v>534</v>
      </c>
      <c r="C77" s="6">
        <f>VLOOKUP(B77,Select!A:H,8,FALSE)</f>
        <v>8</v>
      </c>
      <c r="D77" s="1" t="s">
        <v>36</v>
      </c>
      <c r="E77" s="6">
        <f>VLOOKUP(D77,Select!B:H,7,FALSE)</f>
        <v>1</v>
      </c>
      <c r="F77" s="1" t="s">
        <v>3</v>
      </c>
      <c r="G77" s="6">
        <f>VLOOKUP(F77,Select!C:H,6,FALSE)</f>
        <v>0</v>
      </c>
      <c r="H77" s="24" t="s">
        <v>1345</v>
      </c>
      <c r="I77" s="24">
        <v>4</v>
      </c>
      <c r="J77" s="24">
        <v>4</v>
      </c>
      <c r="K77" s="24">
        <v>3</v>
      </c>
      <c r="L77" s="24"/>
      <c r="M77" s="24" t="b">
        <v>0</v>
      </c>
      <c r="N77" s="24" t="s">
        <v>477</v>
      </c>
      <c r="O77" s="15">
        <f>VLOOKUP(N77,Select!D:H,5,FALSE)</f>
        <v>0</v>
      </c>
    </row>
    <row r="78" spans="1:15">
      <c r="A78" s="23">
        <v>105507</v>
      </c>
      <c r="B78" s="5" t="s">
        <v>534</v>
      </c>
      <c r="C78" s="6">
        <f>VLOOKUP(B78,Select!A:H,8,FALSE)</f>
        <v>8</v>
      </c>
      <c r="D78" s="5" t="s">
        <v>36</v>
      </c>
      <c r="E78" s="6">
        <f>VLOOKUP(D78,Select!B:H,7,FALSE)</f>
        <v>1</v>
      </c>
      <c r="F78" s="5" t="s">
        <v>34</v>
      </c>
      <c r="G78" s="6">
        <f>VLOOKUP(F78,Select!C:H,6,FALSE)</f>
        <v>2</v>
      </c>
      <c r="H78" s="24" t="s">
        <v>1346</v>
      </c>
      <c r="I78" s="24">
        <v>2</v>
      </c>
      <c r="J78" s="24"/>
      <c r="K78" s="24"/>
      <c r="L78" s="24"/>
      <c r="M78" s="24" t="b">
        <v>0</v>
      </c>
      <c r="N78" s="24" t="s">
        <v>477</v>
      </c>
      <c r="O78" s="15">
        <f>VLOOKUP(N78,Select!D:H,5,FALSE)</f>
        <v>0</v>
      </c>
    </row>
    <row r="79" spans="1:15">
      <c r="A79" s="23">
        <v>105508</v>
      </c>
      <c r="B79" s="1" t="s">
        <v>534</v>
      </c>
      <c r="C79" s="6">
        <f>VLOOKUP(B79,Select!A:H,8,FALSE)</f>
        <v>8</v>
      </c>
      <c r="D79" s="1" t="s">
        <v>21</v>
      </c>
      <c r="E79" s="6">
        <f>VLOOKUP(D79,Select!B:H,7,FALSE)</f>
        <v>2</v>
      </c>
      <c r="F79" s="1" t="s">
        <v>3</v>
      </c>
      <c r="G79" s="6">
        <f>VLOOKUP(F79,Select!C:H,6,FALSE)</f>
        <v>0</v>
      </c>
      <c r="H79" s="24" t="s">
        <v>1347</v>
      </c>
      <c r="I79" s="24">
        <v>5</v>
      </c>
      <c r="J79" s="24">
        <v>5</v>
      </c>
      <c r="K79" s="24">
        <v>7</v>
      </c>
      <c r="L79" s="24"/>
      <c r="M79" s="24" t="b">
        <v>0</v>
      </c>
      <c r="N79" s="24" t="s">
        <v>477</v>
      </c>
      <c r="O79" s="15">
        <f>VLOOKUP(N79,Select!D:H,5,FALSE)</f>
        <v>0</v>
      </c>
    </row>
    <row r="80" spans="1:15">
      <c r="A80" s="23">
        <v>105509</v>
      </c>
      <c r="B80" s="5" t="s">
        <v>534</v>
      </c>
      <c r="C80" s="6">
        <f>VLOOKUP(B80,Select!A:H,8,FALSE)</f>
        <v>8</v>
      </c>
      <c r="D80" s="5" t="s">
        <v>21</v>
      </c>
      <c r="E80" s="6">
        <f>VLOOKUP(D80,Select!B:H,7,FALSE)</f>
        <v>2</v>
      </c>
      <c r="F80" s="5" t="s">
        <v>3</v>
      </c>
      <c r="G80" s="6">
        <f>VLOOKUP(F80,Select!C:H,6,FALSE)</f>
        <v>0</v>
      </c>
      <c r="H80" s="24" t="s">
        <v>1348</v>
      </c>
      <c r="I80" s="24">
        <v>6</v>
      </c>
      <c r="J80" s="24">
        <v>5</v>
      </c>
      <c r="K80" s="24">
        <v>4</v>
      </c>
      <c r="L80" s="24"/>
      <c r="M80" s="24" t="b">
        <v>0</v>
      </c>
      <c r="N80" s="24" t="s">
        <v>477</v>
      </c>
      <c r="O80" s="15">
        <f>VLOOKUP(N80,Select!D:H,5,FALSE)</f>
        <v>0</v>
      </c>
    </row>
    <row r="81" spans="1:15">
      <c r="A81" s="23">
        <v>105510</v>
      </c>
      <c r="B81" s="1" t="s">
        <v>534</v>
      </c>
      <c r="C81" s="6">
        <f>VLOOKUP(B81,Select!A:H,8,FALSE)</f>
        <v>8</v>
      </c>
      <c r="D81" s="1" t="s">
        <v>21</v>
      </c>
      <c r="E81" s="6">
        <f>VLOOKUP(D81,Select!B:H,7,FALSE)</f>
        <v>2</v>
      </c>
      <c r="F81" s="1" t="s">
        <v>23</v>
      </c>
      <c r="G81" s="6">
        <f>VLOOKUP(F81,Select!C:H,6,FALSE)</f>
        <v>1</v>
      </c>
      <c r="H81" s="24" t="s">
        <v>1349</v>
      </c>
      <c r="I81" s="24">
        <v>2</v>
      </c>
      <c r="J81" s="24"/>
      <c r="K81" s="24"/>
      <c r="L81" s="24"/>
      <c r="M81" s="24" t="b">
        <v>0</v>
      </c>
      <c r="N81" s="24" t="s">
        <v>477</v>
      </c>
      <c r="O81" s="15">
        <f>VLOOKUP(N81,Select!D:H,5,FALSE)</f>
        <v>0</v>
      </c>
    </row>
    <row r="82" spans="1:15">
      <c r="A82" s="23">
        <v>105511</v>
      </c>
      <c r="B82" s="5" t="s">
        <v>534</v>
      </c>
      <c r="C82" s="6">
        <f>VLOOKUP(B82,Select!A:H,8,FALSE)</f>
        <v>8</v>
      </c>
      <c r="D82" s="5" t="s">
        <v>30</v>
      </c>
      <c r="E82" s="6">
        <f>VLOOKUP(D82,Select!B:H,7,FALSE)</f>
        <v>3</v>
      </c>
      <c r="F82" s="5" t="s">
        <v>3</v>
      </c>
      <c r="G82" s="6">
        <f>VLOOKUP(F82,Select!C:H,6,FALSE)</f>
        <v>0</v>
      </c>
      <c r="H82" s="24" t="s">
        <v>1350</v>
      </c>
      <c r="I82" s="24">
        <v>4</v>
      </c>
      <c r="J82" s="24">
        <v>5</v>
      </c>
      <c r="K82" s="24">
        <v>4</v>
      </c>
      <c r="L82" s="24"/>
      <c r="M82" s="24" t="b">
        <v>0</v>
      </c>
      <c r="N82" s="24" t="s">
        <v>477</v>
      </c>
      <c r="O82" s="15">
        <f>VLOOKUP(N82,Select!D:H,5,FALSE)</f>
        <v>0</v>
      </c>
    </row>
    <row r="83" spans="1:15">
      <c r="A83" s="23">
        <v>105512</v>
      </c>
      <c r="B83" s="1" t="s">
        <v>534</v>
      </c>
      <c r="C83" s="6">
        <f>VLOOKUP(B83,Select!A:H,8,FALSE)</f>
        <v>8</v>
      </c>
      <c r="D83" s="1" t="s">
        <v>30</v>
      </c>
      <c r="E83" s="6">
        <f>VLOOKUP(D83,Select!B:H,7,FALSE)</f>
        <v>3</v>
      </c>
      <c r="F83" s="1" t="s">
        <v>3</v>
      </c>
      <c r="G83" s="6">
        <f>VLOOKUP(F83,Select!C:H,6,FALSE)</f>
        <v>0</v>
      </c>
      <c r="H83" s="24" t="s">
        <v>1351</v>
      </c>
      <c r="I83" s="24">
        <v>7</v>
      </c>
      <c r="J83" s="24">
        <v>5</v>
      </c>
      <c r="K83" s="24">
        <v>5</v>
      </c>
      <c r="L83" s="24"/>
      <c r="M83" s="24" t="b">
        <v>0</v>
      </c>
      <c r="N83" s="24" t="s">
        <v>477</v>
      </c>
      <c r="O83" s="15">
        <f>VLOOKUP(N83,Select!D:H,5,FALSE)</f>
        <v>0</v>
      </c>
    </row>
    <row r="84" spans="1:15">
      <c r="A84" s="23">
        <v>105600</v>
      </c>
      <c r="B84" s="5" t="s">
        <v>532</v>
      </c>
      <c r="C84" s="6">
        <f>VLOOKUP(B84,Select!A:H,8,FALSE)</f>
        <v>9</v>
      </c>
      <c r="D84" s="5" t="s">
        <v>10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24" t="s">
        <v>1352</v>
      </c>
      <c r="I84" s="24">
        <v>2</v>
      </c>
      <c r="J84" s="24">
        <v>3</v>
      </c>
      <c r="K84" s="24">
        <v>3</v>
      </c>
      <c r="L84" s="24"/>
      <c r="M84" s="24" t="b">
        <v>0</v>
      </c>
      <c r="N84" s="24" t="s">
        <v>477</v>
      </c>
      <c r="O84" s="15">
        <f>VLOOKUP(N84,Select!D:H,5,FALSE)</f>
        <v>0</v>
      </c>
    </row>
    <row r="85" spans="1:15">
      <c r="A85" s="23">
        <v>105601</v>
      </c>
      <c r="B85" s="1" t="s">
        <v>532</v>
      </c>
      <c r="C85" s="6">
        <f>VLOOKUP(B85,Select!A:H,8,FALSE)</f>
        <v>9</v>
      </c>
      <c r="D85" s="1" t="s">
        <v>10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24" t="s">
        <v>1353</v>
      </c>
      <c r="I85" s="24">
        <v>3</v>
      </c>
      <c r="J85" s="24">
        <v>2</v>
      </c>
      <c r="K85" s="24">
        <v>3</v>
      </c>
      <c r="L85" s="24"/>
      <c r="M85" s="24" t="b">
        <v>0</v>
      </c>
      <c r="N85" s="24" t="s">
        <v>477</v>
      </c>
      <c r="O85" s="15">
        <f>VLOOKUP(N85,Select!D:H,5,FALSE)</f>
        <v>0</v>
      </c>
    </row>
    <row r="86" spans="1:15">
      <c r="A86" s="23">
        <v>105602</v>
      </c>
      <c r="B86" s="5" t="s">
        <v>532</v>
      </c>
      <c r="C86" s="6">
        <f>VLOOKUP(B86,Select!A:H,8,FALSE)</f>
        <v>9</v>
      </c>
      <c r="D86" s="5" t="s">
        <v>10</v>
      </c>
      <c r="E86" s="6">
        <f>VLOOKUP(D86,Select!B:H,7,FALSE)</f>
        <v>0</v>
      </c>
      <c r="F86" s="5" t="s">
        <v>3</v>
      </c>
      <c r="G86" s="6">
        <f>VLOOKUP(F86,Select!C:H,6,FALSE)</f>
        <v>0</v>
      </c>
      <c r="H86" s="24" t="s">
        <v>1354</v>
      </c>
      <c r="I86" s="24">
        <v>4</v>
      </c>
      <c r="J86" s="24">
        <v>3</v>
      </c>
      <c r="K86" s="24">
        <v>4</v>
      </c>
      <c r="L86" s="24"/>
      <c r="M86" s="24" t="b">
        <v>0</v>
      </c>
      <c r="N86" s="24" t="s">
        <v>477</v>
      </c>
      <c r="O86" s="15">
        <f>VLOOKUP(N86,Select!D:H,5,FALSE)</f>
        <v>0</v>
      </c>
    </row>
    <row r="87" spans="1:15">
      <c r="A87" s="23">
        <v>105603</v>
      </c>
      <c r="B87" s="1" t="s">
        <v>532</v>
      </c>
      <c r="C87" s="6">
        <f>VLOOKUP(B87,Select!A:H,8,FALSE)</f>
        <v>9</v>
      </c>
      <c r="D87" s="1" t="s">
        <v>10</v>
      </c>
      <c r="E87" s="6">
        <f>VLOOKUP(D87,Select!B:H,7,FALSE)</f>
        <v>0</v>
      </c>
      <c r="F87" s="1" t="s">
        <v>34</v>
      </c>
      <c r="G87" s="6">
        <f>VLOOKUP(F87,Select!C:H,6,FALSE)</f>
        <v>2</v>
      </c>
      <c r="H87" s="24" t="s">
        <v>1355</v>
      </c>
      <c r="I87" s="24">
        <v>3</v>
      </c>
      <c r="J87" s="24"/>
      <c r="K87" s="24"/>
      <c r="L87" s="24"/>
      <c r="M87" s="24" t="b">
        <v>0</v>
      </c>
      <c r="N87" s="24" t="s">
        <v>477</v>
      </c>
      <c r="O87" s="15">
        <f>VLOOKUP(N87,Select!D:H,5,FALSE)</f>
        <v>0</v>
      </c>
    </row>
    <row r="88" spans="1:15">
      <c r="A88" s="23">
        <v>105604</v>
      </c>
      <c r="B88" s="5" t="s">
        <v>532</v>
      </c>
      <c r="C88" s="6">
        <f>VLOOKUP(B88,Select!A:H,8,FALSE)</f>
        <v>9</v>
      </c>
      <c r="D88" s="5" t="s">
        <v>36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24" t="s">
        <v>1356</v>
      </c>
      <c r="I88" s="24">
        <v>2</v>
      </c>
      <c r="J88" s="24">
        <v>3</v>
      </c>
      <c r="K88" s="24">
        <v>1</v>
      </c>
      <c r="L88" s="24"/>
      <c r="M88" s="24" t="b">
        <v>0</v>
      </c>
      <c r="N88" s="24" t="s">
        <v>477</v>
      </c>
      <c r="O88" s="15">
        <f>VLOOKUP(N88,Select!D:H,5,FALSE)</f>
        <v>0</v>
      </c>
    </row>
    <row r="89" spans="1:15">
      <c r="A89" s="23">
        <v>105605</v>
      </c>
      <c r="B89" s="1" t="s">
        <v>532</v>
      </c>
      <c r="C89" s="6">
        <f>VLOOKUP(B89,Select!A:H,8,FALSE)</f>
        <v>9</v>
      </c>
      <c r="D89" s="1" t="s">
        <v>36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24" t="s">
        <v>1357</v>
      </c>
      <c r="I89" s="24">
        <v>5</v>
      </c>
      <c r="J89" s="24">
        <v>2</v>
      </c>
      <c r="K89" s="24">
        <v>4</v>
      </c>
      <c r="L89" s="24"/>
      <c r="M89" s="24" t="b">
        <v>0</v>
      </c>
      <c r="N89" s="24" t="s">
        <v>477</v>
      </c>
      <c r="O89" s="15">
        <f>VLOOKUP(N89,Select!D:H,5,FALSE)</f>
        <v>0</v>
      </c>
    </row>
    <row r="90" spans="1:15">
      <c r="A90" s="23">
        <v>105606</v>
      </c>
      <c r="B90" s="5" t="s">
        <v>532</v>
      </c>
      <c r="C90" s="6">
        <f>VLOOKUP(B90,Select!A:H,8,FALSE)</f>
        <v>9</v>
      </c>
      <c r="D90" s="5" t="s">
        <v>36</v>
      </c>
      <c r="E90" s="6">
        <f>VLOOKUP(D90,Select!B:H,7,FALSE)</f>
        <v>1</v>
      </c>
      <c r="F90" s="5" t="s">
        <v>3</v>
      </c>
      <c r="G90" s="6">
        <f>VLOOKUP(F90,Select!C:H,6,FALSE)</f>
        <v>0</v>
      </c>
      <c r="H90" s="24" t="s">
        <v>1358</v>
      </c>
      <c r="I90" s="24">
        <v>5</v>
      </c>
      <c r="J90" s="24">
        <v>4</v>
      </c>
      <c r="K90" s="24">
        <v>5</v>
      </c>
      <c r="L90" s="24"/>
      <c r="M90" s="24" t="b">
        <v>0</v>
      </c>
      <c r="N90" s="24" t="s">
        <v>477</v>
      </c>
      <c r="O90" s="15">
        <f>VLOOKUP(N90,Select!D:H,5,FALSE)</f>
        <v>0</v>
      </c>
    </row>
    <row r="91" spans="1:15">
      <c r="A91" s="23">
        <v>105607</v>
      </c>
      <c r="B91" s="1" t="s">
        <v>532</v>
      </c>
      <c r="C91" s="6">
        <f>VLOOKUP(B91,Select!A:H,8,FALSE)</f>
        <v>9</v>
      </c>
      <c r="D91" s="1" t="s">
        <v>36</v>
      </c>
      <c r="E91" s="6">
        <f>VLOOKUP(D91,Select!B:H,7,FALSE)</f>
        <v>1</v>
      </c>
      <c r="F91" s="1" t="s">
        <v>23</v>
      </c>
      <c r="G91" s="6">
        <f>VLOOKUP(F91,Select!C:H,6,FALSE)</f>
        <v>1</v>
      </c>
      <c r="H91" s="24" t="s">
        <v>1359</v>
      </c>
      <c r="I91" s="24">
        <v>1</v>
      </c>
      <c r="J91" s="24"/>
      <c r="K91" s="24"/>
      <c r="L91" s="24"/>
      <c r="M91" s="24" t="b">
        <v>0</v>
      </c>
      <c r="N91" s="24" t="s">
        <v>477</v>
      </c>
      <c r="O91" s="15">
        <f>VLOOKUP(N91,Select!D:H,5,FALSE)</f>
        <v>0</v>
      </c>
    </row>
    <row r="92" spans="1:15">
      <c r="A92" s="23">
        <v>105608</v>
      </c>
      <c r="B92" s="5" t="s">
        <v>532</v>
      </c>
      <c r="C92" s="6">
        <f>VLOOKUP(B92,Select!A:H,8,FALSE)</f>
        <v>9</v>
      </c>
      <c r="D92" s="5" t="s">
        <v>21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24" t="s">
        <v>1360</v>
      </c>
      <c r="I92" s="24">
        <v>6</v>
      </c>
      <c r="J92" s="24">
        <v>5</v>
      </c>
      <c r="K92" s="24">
        <v>5</v>
      </c>
      <c r="L92" s="24"/>
      <c r="M92" s="24" t="b">
        <v>0</v>
      </c>
      <c r="N92" s="24" t="s">
        <v>477</v>
      </c>
      <c r="O92" s="15">
        <f>VLOOKUP(N92,Select!D:H,5,FALSE)</f>
        <v>0</v>
      </c>
    </row>
    <row r="93" spans="1:15">
      <c r="A93" s="23">
        <v>105609</v>
      </c>
      <c r="B93" s="1" t="s">
        <v>532</v>
      </c>
      <c r="C93" s="6">
        <f>VLOOKUP(B93,Select!A:H,8,FALSE)</f>
        <v>9</v>
      </c>
      <c r="D93" s="1" t="s">
        <v>21</v>
      </c>
      <c r="E93" s="6">
        <f>VLOOKUP(D93,Select!B:H,7,FALSE)</f>
        <v>2</v>
      </c>
      <c r="F93" s="1" t="s">
        <v>3</v>
      </c>
      <c r="G93" s="6">
        <f>VLOOKUP(F93,Select!C:H,6,FALSE)</f>
        <v>0</v>
      </c>
      <c r="H93" s="24" t="s">
        <v>1361</v>
      </c>
      <c r="I93" s="24">
        <v>7</v>
      </c>
      <c r="J93" s="24">
        <v>4</v>
      </c>
      <c r="K93" s="24">
        <v>5</v>
      </c>
      <c r="L93" s="24"/>
      <c r="M93" s="24" t="b">
        <v>0</v>
      </c>
      <c r="N93" s="24" t="s">
        <v>477</v>
      </c>
      <c r="O93" s="15">
        <f>VLOOKUP(N93,Select!D:H,5,FALSE)</f>
        <v>0</v>
      </c>
    </row>
    <row r="94" spans="1:15">
      <c r="A94" s="23">
        <v>105610</v>
      </c>
      <c r="B94" s="5" t="s">
        <v>532</v>
      </c>
      <c r="C94" s="6">
        <f>VLOOKUP(B94,Select!A:H,8,FALSE)</f>
        <v>9</v>
      </c>
      <c r="D94" s="5" t="s">
        <v>21</v>
      </c>
      <c r="E94" s="6">
        <f>VLOOKUP(D94,Select!B:H,7,FALSE)</f>
        <v>2</v>
      </c>
      <c r="F94" s="5" t="s">
        <v>23</v>
      </c>
      <c r="G94" s="6">
        <f>VLOOKUP(F94,Select!C:H,6,FALSE)</f>
        <v>1</v>
      </c>
      <c r="H94" s="24" t="s">
        <v>1362</v>
      </c>
      <c r="I94" s="24">
        <v>3</v>
      </c>
      <c r="J94" s="24"/>
      <c r="K94" s="24"/>
      <c r="L94" s="24"/>
      <c r="M94" s="24" t="b">
        <v>0</v>
      </c>
      <c r="N94" s="24" t="s">
        <v>477</v>
      </c>
      <c r="O94" s="15">
        <f>VLOOKUP(N94,Select!D:H,5,FALSE)</f>
        <v>0</v>
      </c>
    </row>
    <row r="95" spans="1:15">
      <c r="A95" s="23">
        <v>105611</v>
      </c>
      <c r="B95" s="1" t="s">
        <v>532</v>
      </c>
      <c r="C95" s="6">
        <f>VLOOKUP(B95,Select!A:H,8,FALSE)</f>
        <v>9</v>
      </c>
      <c r="D95" s="1" t="s">
        <v>30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24" t="s">
        <v>1363</v>
      </c>
      <c r="I95" s="24">
        <v>6</v>
      </c>
      <c r="J95" s="24">
        <v>6</v>
      </c>
      <c r="K95" s="24">
        <v>6</v>
      </c>
      <c r="L95" s="24"/>
      <c r="M95" s="24" t="b">
        <v>0</v>
      </c>
      <c r="N95" s="24" t="s">
        <v>477</v>
      </c>
      <c r="O95" s="15">
        <f>VLOOKUP(N95,Select!D:H,5,FALSE)</f>
        <v>0</v>
      </c>
    </row>
    <row r="96" spans="1:15">
      <c r="A96" s="23">
        <v>105612</v>
      </c>
      <c r="B96" s="5" t="s">
        <v>532</v>
      </c>
      <c r="C96" s="6">
        <f>VLOOKUP(B96,Select!A:H,8,FALSE)</f>
        <v>9</v>
      </c>
      <c r="D96" s="5" t="s">
        <v>30</v>
      </c>
      <c r="E96" s="6">
        <f>VLOOKUP(D96,Select!B:H,7,FALSE)</f>
        <v>3</v>
      </c>
      <c r="F96" s="5" t="s">
        <v>3</v>
      </c>
      <c r="G96" s="6">
        <f>VLOOKUP(F96,Select!C:H,6,FALSE)</f>
        <v>0</v>
      </c>
      <c r="H96" s="24" t="s">
        <v>1364</v>
      </c>
      <c r="I96" s="24">
        <v>8</v>
      </c>
      <c r="J96" s="24">
        <v>6</v>
      </c>
      <c r="K96" s="24">
        <v>7</v>
      </c>
      <c r="L96" s="24"/>
      <c r="M96" s="24" t="b">
        <v>0</v>
      </c>
      <c r="N96" s="24" t="s">
        <v>477</v>
      </c>
      <c r="O96" s="15">
        <f>VLOOKUP(N96,Select!D:H,5,FALSE)</f>
        <v>0</v>
      </c>
    </row>
    <row r="97" spans="1:15">
      <c r="A97" s="23">
        <v>105700</v>
      </c>
      <c r="B97" s="1" t="s">
        <v>29</v>
      </c>
      <c r="C97" s="6">
        <f>VLOOKUP(B97,Select!A:H,8,FALSE)</f>
        <v>6</v>
      </c>
      <c r="D97" s="1" t="s">
        <v>10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24" t="s">
        <v>1365</v>
      </c>
      <c r="I97" s="24">
        <v>3</v>
      </c>
      <c r="J97" s="24">
        <v>3</v>
      </c>
      <c r="K97" s="24">
        <v>2</v>
      </c>
      <c r="L97" s="24"/>
      <c r="M97" s="24" t="b">
        <v>0</v>
      </c>
      <c r="N97" s="24" t="s">
        <v>477</v>
      </c>
      <c r="O97" s="15">
        <f>VLOOKUP(N97,Select!D:H,5,FALSE)</f>
        <v>0</v>
      </c>
    </row>
    <row r="98" spans="1:15">
      <c r="A98" s="23">
        <v>105701</v>
      </c>
      <c r="B98" s="5" t="s">
        <v>29</v>
      </c>
      <c r="C98" s="6">
        <f>VLOOKUP(B98,Select!A:H,8,FALSE)</f>
        <v>6</v>
      </c>
      <c r="D98" s="5" t="s">
        <v>10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24" t="s">
        <v>1366</v>
      </c>
      <c r="I98" s="24">
        <v>4</v>
      </c>
      <c r="J98" s="24">
        <v>4</v>
      </c>
      <c r="K98" s="24">
        <v>3</v>
      </c>
      <c r="L98" s="24"/>
      <c r="M98" s="24" t="b">
        <v>0</v>
      </c>
      <c r="N98" s="24" t="s">
        <v>477</v>
      </c>
      <c r="O98" s="15">
        <f>VLOOKUP(N98,Select!D:H,5,FALSE)</f>
        <v>0</v>
      </c>
    </row>
    <row r="99" spans="1:15">
      <c r="A99" s="23">
        <v>105702</v>
      </c>
      <c r="B99" s="1" t="s">
        <v>29</v>
      </c>
      <c r="C99" s="6">
        <f>VLOOKUP(B99,Select!A:H,8,FALSE)</f>
        <v>6</v>
      </c>
      <c r="D99" s="1" t="s">
        <v>10</v>
      </c>
      <c r="E99" s="6">
        <f>VLOOKUP(D99,Select!B:H,7,FALSE)</f>
        <v>0</v>
      </c>
      <c r="F99" s="1" t="s">
        <v>3</v>
      </c>
      <c r="G99" s="6">
        <f>VLOOKUP(F99,Select!C:H,6,FALSE)</f>
        <v>0</v>
      </c>
      <c r="H99" s="24" t="s">
        <v>1367</v>
      </c>
      <c r="I99" s="24">
        <v>6</v>
      </c>
      <c r="J99" s="24">
        <v>4</v>
      </c>
      <c r="K99" s="24">
        <v>6</v>
      </c>
      <c r="L99" s="24"/>
      <c r="M99" s="24" t="b">
        <v>0</v>
      </c>
      <c r="N99" s="24" t="s">
        <v>477</v>
      </c>
      <c r="O99" s="15">
        <f>VLOOKUP(N99,Select!D:H,5,FALSE)</f>
        <v>0</v>
      </c>
    </row>
    <row r="100" spans="1:15">
      <c r="A100" s="23">
        <v>105703</v>
      </c>
      <c r="B100" s="5" t="s">
        <v>29</v>
      </c>
      <c r="C100" s="6">
        <f>VLOOKUP(B100,Select!A:H,8,FALSE)</f>
        <v>6</v>
      </c>
      <c r="D100" s="5" t="s">
        <v>10</v>
      </c>
      <c r="E100" s="6">
        <f>VLOOKUP(D100,Select!B:H,7,FALSE)</f>
        <v>0</v>
      </c>
      <c r="F100" s="5" t="s">
        <v>34</v>
      </c>
      <c r="G100" s="6">
        <f>VLOOKUP(F100,Select!C:H,6,FALSE)</f>
        <v>2</v>
      </c>
      <c r="H100" s="24" t="s">
        <v>1368</v>
      </c>
      <c r="I100" s="24">
        <v>2</v>
      </c>
      <c r="J100" s="24"/>
      <c r="K100" s="24"/>
      <c r="L100" s="24"/>
      <c r="M100" s="24" t="b">
        <v>0</v>
      </c>
      <c r="N100" s="24" t="s">
        <v>477</v>
      </c>
      <c r="O100" s="15">
        <f>VLOOKUP(N100,Select!D:H,5,FALSE)</f>
        <v>0</v>
      </c>
    </row>
    <row r="101" spans="1:15">
      <c r="A101" s="23">
        <v>105704</v>
      </c>
      <c r="B101" s="1" t="s">
        <v>29</v>
      </c>
      <c r="C101" s="6">
        <f>VLOOKUP(B101,Select!A:H,8,FALSE)</f>
        <v>6</v>
      </c>
      <c r="D101" s="1" t="s">
        <v>36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24" t="s">
        <v>1369</v>
      </c>
      <c r="I101" s="24">
        <v>5</v>
      </c>
      <c r="J101" s="24">
        <v>4</v>
      </c>
      <c r="K101" s="24">
        <v>5</v>
      </c>
      <c r="L101" s="24"/>
      <c r="M101" s="24" t="b">
        <v>0</v>
      </c>
      <c r="N101" s="24" t="s">
        <v>477</v>
      </c>
      <c r="O101" s="15">
        <f>VLOOKUP(N101,Select!D:H,5,FALSE)</f>
        <v>0</v>
      </c>
    </row>
    <row r="102" spans="1:15">
      <c r="A102" s="23">
        <v>105705</v>
      </c>
      <c r="B102" s="5" t="s">
        <v>29</v>
      </c>
      <c r="C102" s="6">
        <f>VLOOKUP(B102,Select!A:H,8,FALSE)</f>
        <v>6</v>
      </c>
      <c r="D102" s="5" t="s">
        <v>36</v>
      </c>
      <c r="E102" s="6">
        <f>VLOOKUP(D102,Select!B:H,7,FALSE)</f>
        <v>1</v>
      </c>
      <c r="F102" s="5" t="s">
        <v>3</v>
      </c>
      <c r="G102" s="6">
        <f>VLOOKUP(F102,Select!C:H,6,FALSE)</f>
        <v>0</v>
      </c>
      <c r="H102" s="24" t="s">
        <v>1370</v>
      </c>
      <c r="I102" s="24">
        <v>6</v>
      </c>
      <c r="J102" s="24">
        <v>4</v>
      </c>
      <c r="K102" s="24">
        <v>5</v>
      </c>
      <c r="L102" s="24"/>
      <c r="M102" s="24" t="b">
        <v>0</v>
      </c>
      <c r="N102" s="24" t="s">
        <v>477</v>
      </c>
      <c r="O102" s="15">
        <f>VLOOKUP(N102,Select!D:H,5,FALSE)</f>
        <v>0</v>
      </c>
    </row>
    <row r="103" spans="1:15">
      <c r="A103" s="23">
        <v>105706</v>
      </c>
      <c r="B103" s="1" t="s">
        <v>29</v>
      </c>
      <c r="C103" s="6">
        <f>VLOOKUP(B103,Select!A:H,8,FALSE)</f>
        <v>6</v>
      </c>
      <c r="D103" s="1" t="s">
        <v>36</v>
      </c>
      <c r="E103" s="6">
        <f>VLOOKUP(D103,Select!B:H,7,FALSE)</f>
        <v>1</v>
      </c>
      <c r="F103" s="1" t="s">
        <v>3</v>
      </c>
      <c r="G103" s="6">
        <f>VLOOKUP(F103,Select!C:H,6,FALSE)</f>
        <v>0</v>
      </c>
      <c r="H103" s="24" t="s">
        <v>1371</v>
      </c>
      <c r="I103" s="24">
        <v>6</v>
      </c>
      <c r="J103" s="24">
        <v>3</v>
      </c>
      <c r="K103" s="24">
        <v>7</v>
      </c>
      <c r="L103" s="24"/>
      <c r="M103" s="24" t="b">
        <v>0</v>
      </c>
      <c r="N103" s="24" t="s">
        <v>477</v>
      </c>
      <c r="O103" s="15">
        <f>VLOOKUP(N103,Select!D:H,5,FALSE)</f>
        <v>0</v>
      </c>
    </row>
    <row r="104" spans="1:15">
      <c r="A104" s="23">
        <v>105707</v>
      </c>
      <c r="B104" s="5" t="s">
        <v>29</v>
      </c>
      <c r="C104" s="6">
        <f>VLOOKUP(B104,Select!A:H,8,FALSE)</f>
        <v>6</v>
      </c>
      <c r="D104" s="5" t="s">
        <v>36</v>
      </c>
      <c r="E104" s="6">
        <f>VLOOKUP(D104,Select!B:H,7,FALSE)</f>
        <v>1</v>
      </c>
      <c r="F104" s="5" t="s">
        <v>34</v>
      </c>
      <c r="G104" s="6">
        <f>VLOOKUP(F104,Select!C:H,6,FALSE)</f>
        <v>2</v>
      </c>
      <c r="H104" s="24" t="s">
        <v>1372</v>
      </c>
      <c r="I104" s="24">
        <v>5</v>
      </c>
      <c r="J104" s="24"/>
      <c r="K104" s="24"/>
      <c r="L104" s="24"/>
      <c r="M104" s="24" t="b">
        <v>0</v>
      </c>
      <c r="N104" s="24" t="s">
        <v>477</v>
      </c>
      <c r="O104" s="15">
        <f>VLOOKUP(N104,Select!D:H,5,FALSE)</f>
        <v>0</v>
      </c>
    </row>
    <row r="105" spans="1:15">
      <c r="A105" s="23">
        <v>105708</v>
      </c>
      <c r="B105" s="1" t="s">
        <v>29</v>
      </c>
      <c r="C105" s="6">
        <f>VLOOKUP(B105,Select!A:H,8,FALSE)</f>
        <v>6</v>
      </c>
      <c r="D105" s="1" t="s">
        <v>21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24" t="s">
        <v>1373</v>
      </c>
      <c r="I105" s="24">
        <v>2</v>
      </c>
      <c r="J105" s="24">
        <v>2</v>
      </c>
      <c r="K105" s="24">
        <v>2</v>
      </c>
      <c r="L105" s="24"/>
      <c r="M105" s="24" t="b">
        <v>0</v>
      </c>
      <c r="N105" s="24" t="s">
        <v>477</v>
      </c>
      <c r="O105" s="15">
        <f>VLOOKUP(N105,Select!D:H,5,FALSE)</f>
        <v>0</v>
      </c>
    </row>
    <row r="106" spans="1:15">
      <c r="A106" s="23">
        <v>105709</v>
      </c>
      <c r="B106" s="5" t="s">
        <v>29</v>
      </c>
      <c r="C106" s="6">
        <f>VLOOKUP(B106,Select!A:H,8,FALSE)</f>
        <v>6</v>
      </c>
      <c r="D106" s="5" t="s">
        <v>21</v>
      </c>
      <c r="E106" s="6">
        <f>VLOOKUP(D106,Select!B:H,7,FALSE)</f>
        <v>2</v>
      </c>
      <c r="F106" s="5" t="s">
        <v>3</v>
      </c>
      <c r="G106" s="6">
        <f>VLOOKUP(F106,Select!C:H,6,FALSE)</f>
        <v>0</v>
      </c>
      <c r="H106" s="24" t="s">
        <v>1374</v>
      </c>
      <c r="I106" s="24">
        <v>6</v>
      </c>
      <c r="J106" s="24">
        <v>4</v>
      </c>
      <c r="K106" s="24">
        <v>5</v>
      </c>
      <c r="L106" s="24"/>
      <c r="M106" s="24" t="b">
        <v>0</v>
      </c>
      <c r="N106" s="24" t="s">
        <v>477</v>
      </c>
      <c r="O106" s="15">
        <f>VLOOKUP(N106,Select!D:H,5,FALSE)</f>
        <v>0</v>
      </c>
    </row>
    <row r="107" spans="1:15">
      <c r="A107" s="23">
        <v>105710</v>
      </c>
      <c r="B107" s="1" t="s">
        <v>29</v>
      </c>
      <c r="C107" s="6">
        <f>VLOOKUP(B107,Select!A:H,8,FALSE)</f>
        <v>6</v>
      </c>
      <c r="D107" s="1" t="s">
        <v>21</v>
      </c>
      <c r="E107" s="6">
        <f>VLOOKUP(D107,Select!B:H,7,FALSE)</f>
        <v>2</v>
      </c>
      <c r="F107" s="1" t="s">
        <v>34</v>
      </c>
      <c r="G107" s="6">
        <f>VLOOKUP(F107,Select!C:H,6,FALSE)</f>
        <v>2</v>
      </c>
      <c r="H107" s="24" t="s">
        <v>1375</v>
      </c>
      <c r="I107" s="24">
        <v>2</v>
      </c>
      <c r="J107" s="24"/>
      <c r="K107" s="24"/>
      <c r="L107" s="24"/>
      <c r="M107" s="24" t="b">
        <v>0</v>
      </c>
      <c r="N107" s="24" t="s">
        <v>477</v>
      </c>
      <c r="O107" s="15">
        <f>VLOOKUP(N107,Select!D:H,5,FALSE)</f>
        <v>0</v>
      </c>
    </row>
    <row r="108" spans="1:15">
      <c r="A108" s="23">
        <v>105711</v>
      </c>
      <c r="B108" s="5" t="s">
        <v>29</v>
      </c>
      <c r="C108" s="6">
        <f>VLOOKUP(B108,Select!A:H,8,FALSE)</f>
        <v>6</v>
      </c>
      <c r="D108" s="5" t="s">
        <v>30</v>
      </c>
      <c r="E108" s="6">
        <f>VLOOKUP(D108,Select!B:H,7,FALSE)</f>
        <v>3</v>
      </c>
      <c r="F108" s="5" t="s">
        <v>3</v>
      </c>
      <c r="G108" s="6">
        <f>VLOOKUP(F108,Select!C:H,6,FALSE)</f>
        <v>0</v>
      </c>
      <c r="H108" s="24" t="s">
        <v>1376</v>
      </c>
      <c r="I108" s="24">
        <v>2</v>
      </c>
      <c r="J108" s="24">
        <v>1</v>
      </c>
      <c r="K108" s="24">
        <v>2</v>
      </c>
      <c r="L108" s="24"/>
      <c r="M108" s="24" t="b">
        <v>0</v>
      </c>
      <c r="N108" s="24" t="s">
        <v>477</v>
      </c>
      <c r="O108" s="15">
        <f>VLOOKUP(N108,Select!D:H,5,FALSE)</f>
        <v>0</v>
      </c>
    </row>
    <row r="109" spans="1:15">
      <c r="A109" s="27">
        <v>105712</v>
      </c>
      <c r="B109" s="8" t="s">
        <v>29</v>
      </c>
      <c r="C109" s="9">
        <f>VLOOKUP(B109,Select!A:H,8,FALSE)</f>
        <v>6</v>
      </c>
      <c r="D109" s="8" t="s">
        <v>30</v>
      </c>
      <c r="E109" s="9">
        <f>VLOOKUP(D109,Select!B:H,7,FALSE)</f>
        <v>3</v>
      </c>
      <c r="F109" s="8" t="s">
        <v>3</v>
      </c>
      <c r="G109" s="9">
        <f>VLOOKUP(F109,Select!C:H,6,FALSE)</f>
        <v>0</v>
      </c>
      <c r="H109" s="28" t="s">
        <v>1377</v>
      </c>
      <c r="I109" s="28">
        <v>7</v>
      </c>
      <c r="J109" s="28">
        <v>5</v>
      </c>
      <c r="K109" s="28">
        <v>5</v>
      </c>
      <c r="L109" s="28"/>
      <c r="M109" s="28" t="b">
        <v>0</v>
      </c>
      <c r="N109" s="28" t="s">
        <v>477</v>
      </c>
      <c r="O109" s="20">
        <f>VLOOKUP(N109,Select!D:H,5,FALSE)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DAA16C7F-BD8A-483C-9B5F-899B0274DCC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BEAEE545-D354-4142-B7A9-0239B0F0E57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D9BE0B04-C28C-4D96-95EA-1DE8D3DC53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EFB2DA9E-3A35-4498-BB5E-08B9F27AA7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C4B8550B-4C45-408E-B138-4CAEC7B66CC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22560A47-A603-469E-9A37-513BF9C6AC50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BD75BF0F-2DB9-4371-86F3-0A06D222C7C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0B06E0A-F076-4172-AC3C-6FD37392567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B1:B109</xm:sqref>
        </x14:conditionalFormatting>
        <x14:conditionalFormatting xmlns:xm="http://schemas.microsoft.com/office/excel/2006/main">
          <x14:cfRule type="containsText" priority="1" operator="containsText" id="{15A0FD92-C926-4A1B-B301-2B29794347B7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EED148F7-F1D3-40C0-AFE0-3B9422E28DC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B2:B109</xm:sqref>
        </x14:conditionalFormatting>
        <x14:conditionalFormatting xmlns:xm="http://schemas.microsoft.com/office/excel/2006/main">
          <x14:cfRule type="containsText" priority="6" operator="containsText" id="{77D0FCF7-7AAD-4049-9605-224C1586077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EB019CE-B9F4-4EE3-BFC1-6D08047F07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E27C39B-5B6F-4198-8898-6CCB7C68001D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8418375-97E4-45F4-B81D-16FD97DB1EB5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D1:D109</xm:sqref>
        </x14:conditionalFormatting>
        <x14:conditionalFormatting xmlns:xm="http://schemas.microsoft.com/office/excel/2006/main">
          <x14:cfRule type="containsText" priority="3" operator="containsText" id="{D4484B02-77ED-42E2-AC01-D018BD4156C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CF1C51D-7C31-49B4-B97F-49BAD3F79096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45AE02DE-F972-4AFE-9786-73F3A0AECAB9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F592F1-E974-4E49-9EA6-00D55C6FCDDC}">
          <x14:formula1>
            <xm:f>Select!$D:$D</xm:f>
          </x14:formula1>
          <xm:sqref>N2:N109</xm:sqref>
        </x14:dataValidation>
        <x14:dataValidation type="list" allowBlank="1" showInputMessage="1" showErrorMessage="1" xr:uid="{FCBFB367-E564-47F3-96B4-8F57C41B28D1}">
          <x14:formula1>
            <xm:f>Select!$C:$C</xm:f>
          </x14:formula1>
          <xm:sqref>F2:F109</xm:sqref>
        </x14:dataValidation>
        <x14:dataValidation type="list" allowBlank="1" showInputMessage="1" showErrorMessage="1" xr:uid="{D063E133-76AA-4AD5-9F3A-B76C82E384D8}">
          <x14:formula1>
            <xm:f>Select!$B:$B</xm:f>
          </x14:formula1>
          <xm:sqref>D2:D109</xm:sqref>
        </x14:dataValidation>
        <x14:dataValidation type="list" allowBlank="1" showInputMessage="1" showErrorMessage="1" xr:uid="{5BA97122-EA9F-4572-889C-63A8708738E7}">
          <x14:formula1>
            <xm:f>Select!$A:$A</xm:f>
          </x14:formula1>
          <xm:sqref>B2:B109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94C93-31C7-4485-8FF7-7D925507FF3C}">
  <dimension ref="A1:O120"/>
  <sheetViews>
    <sheetView workbookViewId="0">
      <selection activeCell="H3" sqref="H3"/>
    </sheetView>
  </sheetViews>
  <sheetFormatPr defaultRowHeight="18.75"/>
  <cols>
    <col min="1" max="1" width="8.37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130000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1378</v>
      </c>
      <c r="I2" s="5">
        <v>3</v>
      </c>
      <c r="J2" s="5">
        <v>3</v>
      </c>
      <c r="K2" s="5">
        <v>3</v>
      </c>
      <c r="L2" s="5"/>
      <c r="M2" s="5" t="b">
        <v>0</v>
      </c>
      <c r="N2" s="5" t="s">
        <v>477</v>
      </c>
      <c r="O2" s="6">
        <f>VLOOKUP(N2,Select!D:H,5,FALSE)</f>
        <v>0</v>
      </c>
    </row>
    <row r="3" spans="1:15">
      <c r="A3" s="7">
        <v>130001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1379</v>
      </c>
      <c r="I3" s="1">
        <v>4</v>
      </c>
      <c r="J3" s="1">
        <v>4</v>
      </c>
      <c r="K3" s="1">
        <v>3</v>
      </c>
      <c r="L3" s="1"/>
      <c r="M3" s="1" t="b">
        <v>0</v>
      </c>
      <c r="N3" s="1" t="s">
        <v>477</v>
      </c>
      <c r="O3" s="6">
        <f>VLOOKUP(N3,Select!D:H,5,FALSE)</f>
        <v>0</v>
      </c>
    </row>
    <row r="4" spans="1:15">
      <c r="A4" s="4">
        <v>130002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23</v>
      </c>
      <c r="G4" s="6">
        <f>VLOOKUP(F4,Select!C:H,6,FALSE)</f>
        <v>1</v>
      </c>
      <c r="H4" s="5" t="s">
        <v>1380</v>
      </c>
      <c r="I4" s="5">
        <v>2</v>
      </c>
      <c r="J4" s="5"/>
      <c r="K4" s="5"/>
      <c r="L4" s="5"/>
      <c r="M4" s="5" t="b">
        <v>0</v>
      </c>
      <c r="N4" s="5" t="s">
        <v>477</v>
      </c>
      <c r="O4" s="6">
        <f>VLOOKUP(N4,Select!D:H,5,FALSE)</f>
        <v>0</v>
      </c>
    </row>
    <row r="5" spans="1:15">
      <c r="A5" s="7">
        <v>130003</v>
      </c>
      <c r="B5" s="1" t="s">
        <v>1</v>
      </c>
      <c r="C5" s="6">
        <f>VLOOKUP(B5,Select!A:H,8,FALSE)</f>
        <v>0</v>
      </c>
      <c r="D5" s="1" t="s">
        <v>36</v>
      </c>
      <c r="E5" s="6">
        <f>VLOOKUP(D5,Select!B:H,7,FALSE)</f>
        <v>1</v>
      </c>
      <c r="F5" s="1" t="s">
        <v>3</v>
      </c>
      <c r="G5" s="6">
        <f>VLOOKUP(F5,Select!C:H,6,FALSE)</f>
        <v>0</v>
      </c>
      <c r="H5" s="1" t="s">
        <v>1381</v>
      </c>
      <c r="I5" s="1">
        <v>2</v>
      </c>
      <c r="J5" s="1">
        <v>2</v>
      </c>
      <c r="K5" s="1">
        <v>2</v>
      </c>
      <c r="L5" s="1"/>
      <c r="M5" s="1" t="b">
        <v>0</v>
      </c>
      <c r="N5" s="1" t="s">
        <v>477</v>
      </c>
      <c r="O5" s="6">
        <f>VLOOKUP(N5,Select!D:H,5,FALSE)</f>
        <v>0</v>
      </c>
    </row>
    <row r="6" spans="1:15">
      <c r="A6" s="4">
        <v>130004</v>
      </c>
      <c r="B6" s="5" t="s">
        <v>1</v>
      </c>
      <c r="C6" s="6">
        <f>VLOOKUP(B6,Select!A:H,8,FALSE)</f>
        <v>0</v>
      </c>
      <c r="D6" s="5" t="s">
        <v>36</v>
      </c>
      <c r="E6" s="6">
        <f>VLOOKUP(D6,Select!B:H,7,FALSE)</f>
        <v>1</v>
      </c>
      <c r="F6" s="5" t="s">
        <v>23</v>
      </c>
      <c r="G6" s="6">
        <f>VLOOKUP(F6,Select!C:H,6,FALSE)</f>
        <v>1</v>
      </c>
      <c r="H6" s="5" t="s">
        <v>1382</v>
      </c>
      <c r="I6" s="5">
        <v>2</v>
      </c>
      <c r="J6" s="5"/>
      <c r="K6" s="5"/>
      <c r="L6" s="5"/>
      <c r="M6" s="5" t="b">
        <v>0</v>
      </c>
      <c r="N6" s="5" t="s">
        <v>477</v>
      </c>
      <c r="O6" s="6">
        <f>VLOOKUP(N6,Select!D:H,5,FALSE)</f>
        <v>0</v>
      </c>
    </row>
    <row r="7" spans="1:15">
      <c r="A7" s="7">
        <v>130005</v>
      </c>
      <c r="B7" s="1" t="s">
        <v>1</v>
      </c>
      <c r="C7" s="6">
        <f>VLOOKUP(B7,Select!A:H,8,FALSE)</f>
        <v>0</v>
      </c>
      <c r="D7" s="1" t="s">
        <v>21</v>
      </c>
      <c r="E7" s="6">
        <f>VLOOKUP(D7,Select!B:H,7,FALSE)</f>
        <v>2</v>
      </c>
      <c r="F7" s="1" t="s">
        <v>3</v>
      </c>
      <c r="G7" s="6">
        <f>VLOOKUP(F7,Select!C:H,6,FALSE)</f>
        <v>0</v>
      </c>
      <c r="H7" s="1" t="s">
        <v>1383</v>
      </c>
      <c r="I7" s="1">
        <v>1</v>
      </c>
      <c r="J7" s="1">
        <v>1</v>
      </c>
      <c r="K7" s="1">
        <v>1</v>
      </c>
      <c r="L7" s="1"/>
      <c r="M7" s="1" t="b">
        <v>0</v>
      </c>
      <c r="N7" s="1" t="s">
        <v>477</v>
      </c>
      <c r="O7" s="6">
        <f>VLOOKUP(N7,Select!D:H,5,FALSE)</f>
        <v>0</v>
      </c>
    </row>
    <row r="8" spans="1:15">
      <c r="A8" s="4">
        <v>130006</v>
      </c>
      <c r="B8" s="5" t="s">
        <v>1</v>
      </c>
      <c r="C8" s="6">
        <f>VLOOKUP(B8,Select!A:H,8,FALSE)</f>
        <v>0</v>
      </c>
      <c r="D8" s="5" t="s">
        <v>21</v>
      </c>
      <c r="E8" s="6">
        <f>VLOOKUP(D8,Select!B:H,7,FALSE)</f>
        <v>2</v>
      </c>
      <c r="F8" s="5" t="s">
        <v>3</v>
      </c>
      <c r="G8" s="6">
        <f>VLOOKUP(F8,Select!C:H,6,FALSE)</f>
        <v>0</v>
      </c>
      <c r="H8" s="5" t="s">
        <v>1385</v>
      </c>
      <c r="I8" s="5">
        <v>3</v>
      </c>
      <c r="J8" s="5">
        <v>3</v>
      </c>
      <c r="K8" s="5">
        <v>3</v>
      </c>
      <c r="L8" s="5"/>
      <c r="M8" s="5" t="b">
        <v>0</v>
      </c>
      <c r="N8" s="5" t="s">
        <v>477</v>
      </c>
      <c r="O8" s="6">
        <f>VLOOKUP(N8,Select!D:H,5,FALSE)</f>
        <v>0</v>
      </c>
    </row>
    <row r="9" spans="1:15">
      <c r="A9" s="7">
        <v>130007</v>
      </c>
      <c r="B9" s="1" t="s">
        <v>1</v>
      </c>
      <c r="C9" s="6">
        <f>VLOOKUP(B9,Select!A:H,8,FALSE)</f>
        <v>0</v>
      </c>
      <c r="D9" s="1" t="s">
        <v>21</v>
      </c>
      <c r="E9" s="6">
        <f>VLOOKUP(D9,Select!B:H,7,FALSE)</f>
        <v>2</v>
      </c>
      <c r="F9" s="1" t="s">
        <v>23</v>
      </c>
      <c r="G9" s="6">
        <f>VLOOKUP(F9,Select!C:H,6,FALSE)</f>
        <v>1</v>
      </c>
      <c r="H9" s="1" t="s">
        <v>1384</v>
      </c>
      <c r="I9" s="1">
        <v>2</v>
      </c>
      <c r="J9" s="1"/>
      <c r="K9" s="1"/>
      <c r="L9" s="1"/>
      <c r="M9" s="1" t="b">
        <v>0</v>
      </c>
      <c r="N9" s="1" t="s">
        <v>477</v>
      </c>
      <c r="O9" s="6">
        <f>VLOOKUP(N9,Select!D:H,5,FALSE)</f>
        <v>0</v>
      </c>
    </row>
    <row r="10" spans="1:15">
      <c r="A10" s="4">
        <v>130008</v>
      </c>
      <c r="B10" s="5" t="s">
        <v>1</v>
      </c>
      <c r="C10" s="6">
        <f>VLOOKUP(B10,Select!A:H,8,FALSE)</f>
        <v>0</v>
      </c>
      <c r="D10" s="5" t="s">
        <v>30</v>
      </c>
      <c r="E10" s="6">
        <f>VLOOKUP(D10,Select!B:H,7,FALSE)</f>
        <v>3</v>
      </c>
      <c r="F10" s="5" t="s">
        <v>3</v>
      </c>
      <c r="G10" s="6">
        <f>VLOOKUP(F10,Select!C:H,6,FALSE)</f>
        <v>0</v>
      </c>
      <c r="H10" s="5" t="s">
        <v>1386</v>
      </c>
      <c r="I10" s="5">
        <v>3</v>
      </c>
      <c r="J10" s="5">
        <v>3</v>
      </c>
      <c r="K10" s="5">
        <v>3</v>
      </c>
      <c r="L10" s="5"/>
      <c r="M10" s="5" t="b">
        <v>0</v>
      </c>
      <c r="N10" s="5" t="s">
        <v>477</v>
      </c>
      <c r="O10" s="6">
        <f>VLOOKUP(N10,Select!D:H,5,FALSE)</f>
        <v>0</v>
      </c>
    </row>
    <row r="11" spans="1:15">
      <c r="A11" s="7">
        <v>130009</v>
      </c>
      <c r="B11" s="1" t="s">
        <v>1</v>
      </c>
      <c r="C11" s="6">
        <f>VLOOKUP(B11,Select!A:H,8,FALSE)</f>
        <v>0</v>
      </c>
      <c r="D11" s="1" t="s">
        <v>30</v>
      </c>
      <c r="E11" s="6">
        <f>VLOOKUP(D11,Select!B:H,7,FALSE)</f>
        <v>3</v>
      </c>
      <c r="F11" s="1" t="s">
        <v>3</v>
      </c>
      <c r="G11" s="6">
        <f>VLOOKUP(F11,Select!C:H,6,FALSE)</f>
        <v>0</v>
      </c>
      <c r="H11" s="1" t="s">
        <v>1387</v>
      </c>
      <c r="I11" s="1">
        <v>7</v>
      </c>
      <c r="J11" s="1">
        <v>6</v>
      </c>
      <c r="K11" s="1">
        <v>6</v>
      </c>
      <c r="L11" s="1"/>
      <c r="M11" s="1" t="b">
        <v>0</v>
      </c>
      <c r="N11" s="1" t="s">
        <v>477</v>
      </c>
      <c r="O11" s="6">
        <f>VLOOKUP(N11,Select!D:H,5,FALSE)</f>
        <v>0</v>
      </c>
    </row>
    <row r="12" spans="1:15">
      <c r="A12" s="4">
        <v>130010</v>
      </c>
      <c r="B12" s="5" t="s">
        <v>1</v>
      </c>
      <c r="C12" s="6">
        <f>VLOOKUP(B12,Select!A:H,8,FALSE)</f>
        <v>0</v>
      </c>
      <c r="D12" s="5" t="s">
        <v>10</v>
      </c>
      <c r="E12" s="6">
        <f>VLOOKUP(D12,Select!B:H,7,FALSE)</f>
        <v>0</v>
      </c>
      <c r="F12" s="5" t="s">
        <v>34</v>
      </c>
      <c r="G12" s="6">
        <f>VLOOKUP(F12,Select!C:H,6,FALSE)</f>
        <v>2</v>
      </c>
      <c r="H12" s="5" t="s">
        <v>1390</v>
      </c>
      <c r="I12" s="5">
        <v>1</v>
      </c>
      <c r="J12" s="5"/>
      <c r="K12" s="5"/>
      <c r="L12" s="5"/>
      <c r="M12" s="5" t="b">
        <v>1</v>
      </c>
      <c r="N12" s="5" t="s">
        <v>477</v>
      </c>
      <c r="O12" s="6">
        <f>VLOOKUP(N12,Select!D:H,5,FALSE)</f>
        <v>0</v>
      </c>
    </row>
    <row r="13" spans="1:15">
      <c r="A13" s="7">
        <v>130011</v>
      </c>
      <c r="B13" s="1" t="s">
        <v>1</v>
      </c>
      <c r="C13" s="6">
        <f>VLOOKUP(B13,Select!A:H,8,FALSE)</f>
        <v>0</v>
      </c>
      <c r="D13" s="1" t="s">
        <v>30</v>
      </c>
      <c r="E13" s="6">
        <f>VLOOKUP(D13,Select!B:H,7,FALSE)</f>
        <v>3</v>
      </c>
      <c r="F13" s="1" t="s">
        <v>3</v>
      </c>
      <c r="G13" s="6">
        <f>VLOOKUP(F13,Select!C:H,6,FALSE)</f>
        <v>0</v>
      </c>
      <c r="H13" s="1" t="s">
        <v>1389</v>
      </c>
      <c r="I13" s="1">
        <v>3</v>
      </c>
      <c r="J13" s="1">
        <v>1</v>
      </c>
      <c r="K13" s="1">
        <v>3</v>
      </c>
      <c r="L13" s="1"/>
      <c r="M13" s="1" t="b">
        <v>1</v>
      </c>
      <c r="N13" s="1" t="s">
        <v>477</v>
      </c>
      <c r="O13" s="6">
        <f>VLOOKUP(N13,Select!D:H,5,FALSE)</f>
        <v>0</v>
      </c>
    </row>
    <row r="14" spans="1:15">
      <c r="A14" s="4">
        <v>130012</v>
      </c>
      <c r="B14" s="5" t="s">
        <v>1</v>
      </c>
      <c r="C14" s="6">
        <f>VLOOKUP(B14,Select!A:H,8,FALSE)</f>
        <v>0</v>
      </c>
      <c r="D14" s="5" t="s">
        <v>30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5" t="s">
        <v>1388</v>
      </c>
      <c r="I14" s="5">
        <v>6</v>
      </c>
      <c r="J14" s="5">
        <v>5</v>
      </c>
      <c r="K14" s="5">
        <v>5</v>
      </c>
      <c r="L14" s="5"/>
      <c r="M14" s="5" t="b">
        <v>1</v>
      </c>
      <c r="N14" s="5" t="s">
        <v>477</v>
      </c>
      <c r="O14" s="6">
        <f>VLOOKUP(N14,Select!D:H,5,FALSE)</f>
        <v>0</v>
      </c>
    </row>
    <row r="15" spans="1:15">
      <c r="A15" s="7">
        <v>130100</v>
      </c>
      <c r="B15" s="1" t="s">
        <v>24</v>
      </c>
      <c r="C15" s="6">
        <f>VLOOKUP(B15,Select!A:H,8,FALSE)</f>
        <v>1</v>
      </c>
      <c r="D15" s="1" t="s">
        <v>10</v>
      </c>
      <c r="E15" s="6">
        <f>VLOOKUP(D15,Select!B:H,7,FALSE)</f>
        <v>0</v>
      </c>
      <c r="F15" s="1" t="s">
        <v>3</v>
      </c>
      <c r="G15" s="6">
        <f>VLOOKUP(F15,Select!C:H,6,FALSE)</f>
        <v>0</v>
      </c>
      <c r="H15" s="1" t="s">
        <v>1391</v>
      </c>
      <c r="I15" s="1">
        <v>2</v>
      </c>
      <c r="J15" s="1">
        <v>2</v>
      </c>
      <c r="K15" s="1">
        <v>2</v>
      </c>
      <c r="L15" s="1"/>
      <c r="M15" s="1" t="b">
        <v>0</v>
      </c>
      <c r="N15" s="1" t="s">
        <v>477</v>
      </c>
      <c r="O15" s="6">
        <f>VLOOKUP(N15,Select!D:H,5,FALSE)</f>
        <v>0</v>
      </c>
    </row>
    <row r="16" spans="1:15">
      <c r="A16" s="4">
        <v>130101</v>
      </c>
      <c r="B16" s="5" t="s">
        <v>24</v>
      </c>
      <c r="C16" s="6">
        <f>VLOOKUP(B16,Select!A:H,8,FALSE)</f>
        <v>1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1392</v>
      </c>
      <c r="I16" s="5">
        <v>3</v>
      </c>
      <c r="J16" s="5">
        <v>2</v>
      </c>
      <c r="K16" s="5">
        <v>1</v>
      </c>
      <c r="L16" s="5"/>
      <c r="M16" s="5" t="b">
        <v>0</v>
      </c>
      <c r="N16" s="5" t="s">
        <v>477</v>
      </c>
      <c r="O16" s="6">
        <f>VLOOKUP(N16,Select!D:H,5,FALSE)</f>
        <v>0</v>
      </c>
    </row>
    <row r="17" spans="1:15">
      <c r="A17" s="7">
        <v>130102</v>
      </c>
      <c r="B17" s="1" t="s">
        <v>24</v>
      </c>
      <c r="C17" s="6">
        <f>VLOOKUP(B17,Select!A:H,8,FALSE)</f>
        <v>1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1393</v>
      </c>
      <c r="I17" s="1">
        <v>6</v>
      </c>
      <c r="J17" s="1">
        <v>4</v>
      </c>
      <c r="K17" s="1">
        <v>4</v>
      </c>
      <c r="L17" s="1"/>
      <c r="M17" s="1" t="b">
        <v>0</v>
      </c>
      <c r="N17" s="1" t="s">
        <v>477</v>
      </c>
      <c r="O17" s="6">
        <f>VLOOKUP(N17,Select!D:H,5,FALSE)</f>
        <v>0</v>
      </c>
    </row>
    <row r="18" spans="1:15">
      <c r="A18" s="4">
        <v>130103</v>
      </c>
      <c r="B18" s="5" t="s">
        <v>24</v>
      </c>
      <c r="C18" s="6">
        <f>VLOOKUP(B18,Select!A:H,8,FALSE)</f>
        <v>1</v>
      </c>
      <c r="D18" s="5" t="s">
        <v>36</v>
      </c>
      <c r="E18" s="6">
        <f>VLOOKUP(D18,Select!B:H,7,FALSE)</f>
        <v>1</v>
      </c>
      <c r="F18" s="5" t="s">
        <v>3</v>
      </c>
      <c r="G18" s="6">
        <f>VLOOKUP(F18,Select!C:H,6,FALSE)</f>
        <v>0</v>
      </c>
      <c r="H18" s="5" t="s">
        <v>1395</v>
      </c>
      <c r="I18" s="5">
        <v>3</v>
      </c>
      <c r="J18" s="5">
        <v>3</v>
      </c>
      <c r="K18" s="5">
        <v>3</v>
      </c>
      <c r="L18" s="5"/>
      <c r="M18" s="5" t="b">
        <v>0</v>
      </c>
      <c r="N18" s="5" t="s">
        <v>477</v>
      </c>
      <c r="O18" s="6">
        <f>VLOOKUP(N18,Select!D:H,5,FALSE)</f>
        <v>0</v>
      </c>
    </row>
    <row r="19" spans="1:15">
      <c r="A19" s="7">
        <v>130104</v>
      </c>
      <c r="B19" s="1" t="s">
        <v>24</v>
      </c>
      <c r="C19" s="6">
        <f>VLOOKUP(B19,Select!A:H,8,FALSE)</f>
        <v>1</v>
      </c>
      <c r="D19" s="1" t="s">
        <v>36</v>
      </c>
      <c r="E19" s="6">
        <f>VLOOKUP(D19,Select!B:H,7,FALSE)</f>
        <v>1</v>
      </c>
      <c r="F19" s="1" t="s">
        <v>3</v>
      </c>
      <c r="G19" s="6">
        <f>VLOOKUP(F19,Select!C:H,6,FALSE)</f>
        <v>0</v>
      </c>
      <c r="H19" s="1" t="s">
        <v>1396</v>
      </c>
      <c r="I19" s="1">
        <v>4</v>
      </c>
      <c r="J19" s="1">
        <v>3</v>
      </c>
      <c r="K19" s="1">
        <v>3</v>
      </c>
      <c r="L19" s="1"/>
      <c r="M19" s="1" t="b">
        <v>0</v>
      </c>
      <c r="N19" s="1" t="s">
        <v>477</v>
      </c>
      <c r="O19" s="6">
        <f>VLOOKUP(N19,Select!D:H,5,FALSE)</f>
        <v>0</v>
      </c>
    </row>
    <row r="20" spans="1:15">
      <c r="A20" s="4">
        <v>130105</v>
      </c>
      <c r="B20" s="5" t="s">
        <v>24</v>
      </c>
      <c r="C20" s="6">
        <f>VLOOKUP(B20,Select!A:H,8,FALSE)</f>
        <v>1</v>
      </c>
      <c r="D20" s="5" t="s">
        <v>36</v>
      </c>
      <c r="E20" s="6">
        <f>VLOOKUP(D20,Select!B:H,7,FALSE)</f>
        <v>1</v>
      </c>
      <c r="F20" s="5" t="s">
        <v>23</v>
      </c>
      <c r="G20" s="6">
        <f>VLOOKUP(F20,Select!C:H,6,FALSE)</f>
        <v>1</v>
      </c>
      <c r="H20" s="5" t="s">
        <v>1394</v>
      </c>
      <c r="I20" s="5">
        <v>1</v>
      </c>
      <c r="J20" s="5"/>
      <c r="K20" s="5"/>
      <c r="L20" s="5"/>
      <c r="M20" s="5" t="b">
        <v>0</v>
      </c>
      <c r="N20" s="5" t="s">
        <v>477</v>
      </c>
      <c r="O20" s="6">
        <f>VLOOKUP(N20,Select!D:H,5,FALSE)</f>
        <v>0</v>
      </c>
    </row>
    <row r="21" spans="1:15">
      <c r="A21" s="7">
        <v>130106</v>
      </c>
      <c r="B21" s="1" t="s">
        <v>24</v>
      </c>
      <c r="C21" s="6">
        <f>VLOOKUP(B21,Select!A:H,8,FALSE)</f>
        <v>1</v>
      </c>
      <c r="D21" s="1" t="s">
        <v>21</v>
      </c>
      <c r="E21" s="6">
        <f>VLOOKUP(D21,Select!B:H,7,FALSE)</f>
        <v>2</v>
      </c>
      <c r="F21" s="1" t="s">
        <v>3</v>
      </c>
      <c r="G21" s="6">
        <f>VLOOKUP(F21,Select!C:H,6,FALSE)</f>
        <v>0</v>
      </c>
      <c r="H21" s="1" t="s">
        <v>1397</v>
      </c>
      <c r="I21" s="1">
        <v>1</v>
      </c>
      <c r="J21" s="1">
        <v>1</v>
      </c>
      <c r="K21" s="1">
        <v>1</v>
      </c>
      <c r="L21" s="1"/>
      <c r="M21" s="1" t="b">
        <v>0</v>
      </c>
      <c r="N21" s="1" t="s">
        <v>477</v>
      </c>
      <c r="O21" s="6">
        <f>VLOOKUP(N21,Select!D:H,5,FALSE)</f>
        <v>0</v>
      </c>
    </row>
    <row r="22" spans="1:15">
      <c r="A22" s="4">
        <v>130107</v>
      </c>
      <c r="B22" s="5" t="s">
        <v>24</v>
      </c>
      <c r="C22" s="6">
        <f>VLOOKUP(B22,Select!A:H,8,FALSE)</f>
        <v>1</v>
      </c>
      <c r="D22" s="5" t="s">
        <v>21</v>
      </c>
      <c r="E22" s="6">
        <f>VLOOKUP(D22,Select!B:H,7,FALSE)</f>
        <v>2</v>
      </c>
      <c r="F22" s="5" t="s">
        <v>3</v>
      </c>
      <c r="G22" s="6">
        <f>VLOOKUP(F22,Select!C:H,6,FALSE)</f>
        <v>0</v>
      </c>
      <c r="H22" s="5" t="s">
        <v>1398</v>
      </c>
      <c r="I22" s="5">
        <v>2</v>
      </c>
      <c r="J22" s="5">
        <v>2</v>
      </c>
      <c r="K22" s="5">
        <v>2</v>
      </c>
      <c r="L22" s="5"/>
      <c r="M22" s="5" t="b">
        <v>0</v>
      </c>
      <c r="N22" s="5" t="s">
        <v>477</v>
      </c>
      <c r="O22" s="6">
        <f>VLOOKUP(N22,Select!D:H,5,FALSE)</f>
        <v>0</v>
      </c>
    </row>
    <row r="23" spans="1:15">
      <c r="A23" s="7">
        <v>130108</v>
      </c>
      <c r="B23" s="1" t="s">
        <v>24</v>
      </c>
      <c r="C23" s="6">
        <f>VLOOKUP(B23,Select!A:H,8,FALSE)</f>
        <v>1</v>
      </c>
      <c r="D23" s="1" t="s">
        <v>21</v>
      </c>
      <c r="E23" s="6">
        <f>VLOOKUP(D23,Select!B:H,7,FALSE)</f>
        <v>2</v>
      </c>
      <c r="F23" s="1" t="s">
        <v>23</v>
      </c>
      <c r="G23" s="6">
        <f>VLOOKUP(F23,Select!C:H,6,FALSE)</f>
        <v>1</v>
      </c>
      <c r="H23" s="1" t="s">
        <v>1399</v>
      </c>
      <c r="I23" s="1">
        <v>3</v>
      </c>
      <c r="J23" s="1"/>
      <c r="K23" s="1"/>
      <c r="L23" s="1"/>
      <c r="M23" s="1" t="b">
        <v>0</v>
      </c>
      <c r="N23" s="1" t="s">
        <v>477</v>
      </c>
      <c r="O23" s="6">
        <f>VLOOKUP(N23,Select!D:H,5,FALSE)</f>
        <v>0</v>
      </c>
    </row>
    <row r="24" spans="1:15">
      <c r="A24" s="4">
        <v>130109</v>
      </c>
      <c r="B24" s="5" t="s">
        <v>24</v>
      </c>
      <c r="C24" s="6">
        <f>VLOOKUP(B24,Select!A:H,8,FALSE)</f>
        <v>1</v>
      </c>
      <c r="D24" s="5" t="s">
        <v>30</v>
      </c>
      <c r="E24" s="6">
        <f>VLOOKUP(D24,Select!B:H,7,FALSE)</f>
        <v>3</v>
      </c>
      <c r="F24" s="5" t="s">
        <v>3</v>
      </c>
      <c r="G24" s="6">
        <f>VLOOKUP(F24,Select!C:H,6,FALSE)</f>
        <v>0</v>
      </c>
      <c r="H24" s="5" t="s">
        <v>1400</v>
      </c>
      <c r="I24" s="5">
        <v>1</v>
      </c>
      <c r="J24" s="5">
        <v>1</v>
      </c>
      <c r="K24" s="5">
        <v>1</v>
      </c>
      <c r="L24" s="5"/>
      <c r="M24" s="5" t="b">
        <v>0</v>
      </c>
      <c r="N24" s="5" t="s">
        <v>477</v>
      </c>
      <c r="O24" s="6">
        <f>VLOOKUP(N24,Select!D:H,5,FALSE)</f>
        <v>0</v>
      </c>
    </row>
    <row r="25" spans="1:15">
      <c r="A25" s="7">
        <v>130110</v>
      </c>
      <c r="B25" s="1" t="s">
        <v>24</v>
      </c>
      <c r="C25" s="6">
        <f>VLOOKUP(B25,Select!A:H,8,FALSE)</f>
        <v>1</v>
      </c>
      <c r="D25" s="1" t="s">
        <v>30</v>
      </c>
      <c r="E25" s="6">
        <f>VLOOKUP(D25,Select!B:H,7,FALSE)</f>
        <v>3</v>
      </c>
      <c r="F25" s="1" t="s">
        <v>3</v>
      </c>
      <c r="G25" s="6">
        <f>VLOOKUP(F25,Select!C:H,6,FALSE)</f>
        <v>0</v>
      </c>
      <c r="H25" s="1" t="s">
        <v>1401</v>
      </c>
      <c r="I25" s="1">
        <v>3</v>
      </c>
      <c r="J25" s="1">
        <v>2</v>
      </c>
      <c r="K25" s="1">
        <v>2</v>
      </c>
      <c r="L25" s="1"/>
      <c r="M25" s="1" t="b">
        <v>0</v>
      </c>
      <c r="N25" s="1" t="s">
        <v>477</v>
      </c>
      <c r="O25" s="6">
        <f>VLOOKUP(N25,Select!D:H,5,FALSE)</f>
        <v>0</v>
      </c>
    </row>
    <row r="26" spans="1:15">
      <c r="A26" s="4">
        <v>130111</v>
      </c>
      <c r="B26" s="5" t="s">
        <v>24</v>
      </c>
      <c r="C26" s="6">
        <f>VLOOKUP(B26,Select!A:H,8,FALSE)</f>
        <v>1</v>
      </c>
      <c r="D26" s="5" t="s">
        <v>30</v>
      </c>
      <c r="E26" s="6">
        <f>VLOOKUP(D26,Select!B:H,7,FALSE)</f>
        <v>3</v>
      </c>
      <c r="F26" s="5" t="s">
        <v>3</v>
      </c>
      <c r="G26" s="6">
        <f>VLOOKUP(F26,Select!C:H,6,FALSE)</f>
        <v>0</v>
      </c>
      <c r="H26" s="5" t="s">
        <v>1402</v>
      </c>
      <c r="I26" s="5">
        <v>8</v>
      </c>
      <c r="J26" s="5">
        <v>6</v>
      </c>
      <c r="K26" s="5">
        <v>6</v>
      </c>
      <c r="L26" s="5"/>
      <c r="M26" s="5" t="b">
        <v>0</v>
      </c>
      <c r="N26" s="5" t="s">
        <v>477</v>
      </c>
      <c r="O26" s="6">
        <f>VLOOKUP(N26,Select!D:H,5,FALSE)</f>
        <v>0</v>
      </c>
    </row>
    <row r="27" spans="1:15">
      <c r="A27" s="7">
        <v>130112</v>
      </c>
      <c r="B27" s="1" t="s">
        <v>24</v>
      </c>
      <c r="C27" s="6">
        <f>VLOOKUP(B27,Select!A:H,8,FALSE)</f>
        <v>1</v>
      </c>
      <c r="D27" s="1" t="s">
        <v>10</v>
      </c>
      <c r="E27" s="6">
        <f>VLOOKUP(D27,Select!B:H,7,FALSE)</f>
        <v>0</v>
      </c>
      <c r="F27" s="1" t="s">
        <v>3</v>
      </c>
      <c r="G27" s="6">
        <f>VLOOKUP(F27,Select!C:H,6,FALSE)</f>
        <v>0</v>
      </c>
      <c r="H27" s="1" t="s">
        <v>1405</v>
      </c>
      <c r="I27" s="1">
        <v>0</v>
      </c>
      <c r="J27" s="1">
        <v>1</v>
      </c>
      <c r="K27" s="1">
        <v>1</v>
      </c>
      <c r="L27" s="1"/>
      <c r="M27" s="1" t="b">
        <v>1</v>
      </c>
      <c r="N27" s="1" t="s">
        <v>477</v>
      </c>
      <c r="O27" s="6">
        <f>VLOOKUP(N27,Select!D:H,5,FALSE)</f>
        <v>0</v>
      </c>
    </row>
    <row r="28" spans="1:15">
      <c r="A28" s="4">
        <v>130113</v>
      </c>
      <c r="B28" s="5" t="s">
        <v>24</v>
      </c>
      <c r="C28" s="6">
        <f>VLOOKUP(B28,Select!A:H,8,FALSE)</f>
        <v>1</v>
      </c>
      <c r="D28" s="5" t="s">
        <v>21</v>
      </c>
      <c r="E28" s="6">
        <f>VLOOKUP(D28,Select!B:H,7,FALSE)</f>
        <v>2</v>
      </c>
      <c r="F28" s="5" t="s">
        <v>3</v>
      </c>
      <c r="G28" s="6">
        <f>VLOOKUP(F28,Select!C:H,6,FALSE)</f>
        <v>0</v>
      </c>
      <c r="H28" s="5" t="s">
        <v>1404</v>
      </c>
      <c r="I28" s="5">
        <v>8</v>
      </c>
      <c r="J28" s="5"/>
      <c r="K28" s="5"/>
      <c r="L28" s="5"/>
      <c r="M28" s="5" t="b">
        <v>1</v>
      </c>
      <c r="N28" s="5" t="s">
        <v>477</v>
      </c>
      <c r="O28" s="6">
        <f>VLOOKUP(N28,Select!D:H,5,FALSE)</f>
        <v>0</v>
      </c>
    </row>
    <row r="29" spans="1:15">
      <c r="A29" s="7">
        <v>130114</v>
      </c>
      <c r="B29" s="1" t="s">
        <v>24</v>
      </c>
      <c r="C29" s="6">
        <f>VLOOKUP(B29,Select!A:H,8,FALSE)</f>
        <v>1</v>
      </c>
      <c r="D29" s="1" t="s">
        <v>30</v>
      </c>
      <c r="E29" s="6">
        <f>VLOOKUP(D29,Select!B:H,7,FALSE)</f>
        <v>3</v>
      </c>
      <c r="F29" s="1" t="s">
        <v>3</v>
      </c>
      <c r="G29" s="6">
        <f>VLOOKUP(F29,Select!C:H,6,FALSE)</f>
        <v>0</v>
      </c>
      <c r="H29" s="1" t="s">
        <v>1403</v>
      </c>
      <c r="I29" s="1">
        <v>8</v>
      </c>
      <c r="J29" s="1">
        <v>4</v>
      </c>
      <c r="K29" s="1">
        <v>4</v>
      </c>
      <c r="L29" s="1"/>
      <c r="M29" s="1" t="b">
        <v>1</v>
      </c>
      <c r="N29" s="1" t="s">
        <v>477</v>
      </c>
      <c r="O29" s="6">
        <f>VLOOKUP(N29,Select!D:H,5,FALSE)</f>
        <v>0</v>
      </c>
    </row>
    <row r="30" spans="1:15">
      <c r="A30" s="4">
        <v>130115</v>
      </c>
      <c r="B30" s="5" t="s">
        <v>24</v>
      </c>
      <c r="C30" s="6">
        <f>VLOOKUP(B30,Select!A:H,8,FALSE)</f>
        <v>1</v>
      </c>
      <c r="D30" s="5" t="s">
        <v>30</v>
      </c>
      <c r="E30" s="6">
        <f>VLOOKUP(D30,Select!B:H,7,FALSE)</f>
        <v>3</v>
      </c>
      <c r="F30" s="5" t="s">
        <v>23</v>
      </c>
      <c r="G30" s="6">
        <f>VLOOKUP(F30,Select!C:H,6,FALSE)</f>
        <v>1</v>
      </c>
      <c r="H30" s="5" t="s">
        <v>1402</v>
      </c>
      <c r="I30" s="5">
        <v>0</v>
      </c>
      <c r="J30" s="5"/>
      <c r="K30" s="5"/>
      <c r="L30" s="5"/>
      <c r="M30" s="5" t="b">
        <v>1</v>
      </c>
      <c r="N30" s="5" t="s">
        <v>477</v>
      </c>
      <c r="O30" s="6">
        <f>VLOOKUP(N30,Select!D:H,5,FALSE)</f>
        <v>0</v>
      </c>
    </row>
    <row r="31" spans="1:15">
      <c r="A31" s="7">
        <v>130200</v>
      </c>
      <c r="B31" s="1" t="s">
        <v>25</v>
      </c>
      <c r="C31" s="6">
        <f>VLOOKUP(B31,Select!A:H,8,FALSE)</f>
        <v>2</v>
      </c>
      <c r="D31" s="1" t="s">
        <v>10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1406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460</v>
      </c>
      <c r="O31" s="6">
        <f>VLOOKUP(N31,Select!D:H,5,FALSE)</f>
        <v>1</v>
      </c>
    </row>
    <row r="32" spans="1:15">
      <c r="A32" s="4">
        <v>130201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1407</v>
      </c>
      <c r="I32" s="5">
        <v>3</v>
      </c>
      <c r="J32" s="5">
        <v>2</v>
      </c>
      <c r="K32" s="5">
        <v>3</v>
      </c>
      <c r="L32" s="5"/>
      <c r="M32" s="5" t="b">
        <v>0</v>
      </c>
      <c r="N32" s="5" t="s">
        <v>460</v>
      </c>
      <c r="O32" s="6">
        <f>VLOOKUP(N32,Select!D:H,5,FALSE)</f>
        <v>1</v>
      </c>
    </row>
    <row r="33" spans="1:15">
      <c r="A33" s="7">
        <v>130202</v>
      </c>
      <c r="B33" s="1" t="s">
        <v>25</v>
      </c>
      <c r="C33" s="6">
        <f>VLOOKUP(B33,Select!A:H,8,FALSE)</f>
        <v>2</v>
      </c>
      <c r="D33" s="1" t="s">
        <v>10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1" t="s">
        <v>1409</v>
      </c>
      <c r="I33" s="1">
        <v>6</v>
      </c>
      <c r="J33" s="1">
        <v>5</v>
      </c>
      <c r="K33" s="1">
        <v>6</v>
      </c>
      <c r="L33" s="1"/>
      <c r="M33" s="1" t="b">
        <v>0</v>
      </c>
      <c r="N33" s="1" t="s">
        <v>460</v>
      </c>
      <c r="O33" s="6">
        <f>VLOOKUP(N33,Select!D:H,5,FALSE)</f>
        <v>1</v>
      </c>
    </row>
    <row r="34" spans="1:15">
      <c r="A34" s="4">
        <v>130203</v>
      </c>
      <c r="B34" s="5" t="s">
        <v>25</v>
      </c>
      <c r="C34" s="6">
        <f>VLOOKUP(B34,Select!A:H,8,FALSE)</f>
        <v>2</v>
      </c>
      <c r="D34" s="5" t="s">
        <v>10</v>
      </c>
      <c r="E34" s="6">
        <f>VLOOKUP(D34,Select!B:H,7,FALSE)</f>
        <v>0</v>
      </c>
      <c r="F34" s="5" t="s">
        <v>23</v>
      </c>
      <c r="G34" s="6">
        <f>VLOOKUP(F34,Select!C:H,6,FALSE)</f>
        <v>1</v>
      </c>
      <c r="H34" s="5" t="s">
        <v>1408</v>
      </c>
      <c r="I34" s="5">
        <v>3</v>
      </c>
      <c r="J34" s="5"/>
      <c r="K34" s="5"/>
      <c r="L34" s="5"/>
      <c r="M34" s="5" t="b">
        <v>0</v>
      </c>
      <c r="N34" s="5" t="s">
        <v>477</v>
      </c>
      <c r="O34" s="6">
        <f>VLOOKUP(N34,Select!D:H,5,FALSE)</f>
        <v>0</v>
      </c>
    </row>
    <row r="35" spans="1:15">
      <c r="A35" s="7">
        <v>130204</v>
      </c>
      <c r="B35" s="1" t="s">
        <v>25</v>
      </c>
      <c r="C35" s="6">
        <f>VLOOKUP(B35,Select!A:H,8,FALSE)</f>
        <v>2</v>
      </c>
      <c r="D35" s="1" t="s">
        <v>36</v>
      </c>
      <c r="E35" s="6">
        <f>VLOOKUP(D35,Select!B:H,7,FALSE)</f>
        <v>1</v>
      </c>
      <c r="F35" s="1" t="s">
        <v>3</v>
      </c>
      <c r="G35" s="6">
        <f>VLOOKUP(F35,Select!C:H,6,FALSE)</f>
        <v>0</v>
      </c>
      <c r="H35" s="1" t="s">
        <v>1410</v>
      </c>
      <c r="I35" s="1">
        <v>1</v>
      </c>
      <c r="J35" s="1">
        <v>1</v>
      </c>
      <c r="K35" s="1">
        <v>1</v>
      </c>
      <c r="L35" s="1"/>
      <c r="M35" s="1" t="b">
        <v>0</v>
      </c>
      <c r="N35" s="1" t="s">
        <v>656</v>
      </c>
      <c r="O35" s="6">
        <f>VLOOKUP(N35,Select!D:H,5,FALSE)</f>
        <v>16</v>
      </c>
    </row>
    <row r="36" spans="1:15">
      <c r="A36" s="4">
        <v>130205</v>
      </c>
      <c r="B36" s="5" t="s">
        <v>25</v>
      </c>
      <c r="C36" s="6">
        <f>VLOOKUP(B36,Select!A:H,8,FALSE)</f>
        <v>2</v>
      </c>
      <c r="D36" s="5" t="s">
        <v>36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5" t="s">
        <v>1411</v>
      </c>
      <c r="I36" s="5">
        <v>2</v>
      </c>
      <c r="J36" s="5">
        <v>2</v>
      </c>
      <c r="K36" s="5">
        <v>2</v>
      </c>
      <c r="L36" s="5"/>
      <c r="M36" s="5" t="b">
        <v>0</v>
      </c>
      <c r="N36" s="5" t="s">
        <v>656</v>
      </c>
      <c r="O36" s="6">
        <f>VLOOKUP(N36,Select!D:H,5,FALSE)</f>
        <v>16</v>
      </c>
    </row>
    <row r="37" spans="1:15">
      <c r="A37" s="7">
        <v>130206</v>
      </c>
      <c r="B37" s="1" t="s">
        <v>25</v>
      </c>
      <c r="C37" s="6">
        <f>VLOOKUP(B37,Select!A:H,8,FALSE)</f>
        <v>2</v>
      </c>
      <c r="D37" s="1" t="s">
        <v>36</v>
      </c>
      <c r="E37" s="6">
        <f>VLOOKUP(D37,Select!B:H,7,FALSE)</f>
        <v>1</v>
      </c>
      <c r="F37" s="1" t="s">
        <v>23</v>
      </c>
      <c r="G37" s="6">
        <f>VLOOKUP(F37,Select!C:H,6,FALSE)</f>
        <v>1</v>
      </c>
      <c r="H37" s="1" t="s">
        <v>1412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6">
        <f>VLOOKUP(N37,Select!D:H,5,FALSE)</f>
        <v>0</v>
      </c>
    </row>
    <row r="38" spans="1:15">
      <c r="A38" s="4">
        <v>130207</v>
      </c>
      <c r="B38" s="5" t="s">
        <v>25</v>
      </c>
      <c r="C38" s="6">
        <f>VLOOKUP(B38,Select!A:H,8,FALSE)</f>
        <v>2</v>
      </c>
      <c r="D38" s="5" t="s">
        <v>21</v>
      </c>
      <c r="E38" s="6">
        <f>VLOOKUP(D38,Select!B:H,7,FALSE)</f>
        <v>2</v>
      </c>
      <c r="F38" s="5" t="s">
        <v>3</v>
      </c>
      <c r="G38" s="6">
        <f>VLOOKUP(F38,Select!C:H,6,FALSE)</f>
        <v>0</v>
      </c>
      <c r="H38" s="5" t="s">
        <v>1413</v>
      </c>
      <c r="I38" s="5">
        <v>2</v>
      </c>
      <c r="J38" s="5">
        <v>1</v>
      </c>
      <c r="K38" s="5">
        <v>4</v>
      </c>
      <c r="L38" s="5"/>
      <c r="M38" s="5" t="b">
        <v>0</v>
      </c>
      <c r="N38" s="5" t="s">
        <v>460</v>
      </c>
      <c r="O38" s="6">
        <f>VLOOKUP(N38,Select!D:H,5,FALSE)</f>
        <v>1</v>
      </c>
    </row>
    <row r="39" spans="1:15">
      <c r="A39" s="7">
        <v>130208</v>
      </c>
      <c r="B39" s="1" t="s">
        <v>25</v>
      </c>
      <c r="C39" s="6">
        <f>VLOOKUP(B39,Select!A:H,8,FALSE)</f>
        <v>2</v>
      </c>
      <c r="D39" s="1" t="s">
        <v>21</v>
      </c>
      <c r="E39" s="6">
        <f>VLOOKUP(D39,Select!B:H,7,FALSE)</f>
        <v>2</v>
      </c>
      <c r="F39" s="1" t="s">
        <v>3</v>
      </c>
      <c r="G39" s="6">
        <f>VLOOKUP(F39,Select!C:H,6,FALSE)</f>
        <v>0</v>
      </c>
      <c r="H39" s="1" t="s">
        <v>1415</v>
      </c>
      <c r="I39" s="1">
        <v>7</v>
      </c>
      <c r="J39" s="1">
        <v>5</v>
      </c>
      <c r="K39" s="1">
        <v>5</v>
      </c>
      <c r="L39" s="1"/>
      <c r="M39" s="1" t="b">
        <v>0</v>
      </c>
      <c r="N39" s="1" t="s">
        <v>460</v>
      </c>
      <c r="O39" s="6">
        <f>VLOOKUP(N39,Select!D:H,5,FALSE)</f>
        <v>1</v>
      </c>
    </row>
    <row r="40" spans="1:15">
      <c r="A40" s="4">
        <v>130209</v>
      </c>
      <c r="B40" s="5" t="s">
        <v>25</v>
      </c>
      <c r="C40" s="6">
        <f>VLOOKUP(B40,Select!A:H,8,FALSE)</f>
        <v>2</v>
      </c>
      <c r="D40" s="5" t="s">
        <v>21</v>
      </c>
      <c r="E40" s="6">
        <f>VLOOKUP(D40,Select!B:H,7,FALSE)</f>
        <v>2</v>
      </c>
      <c r="F40" s="5" t="s">
        <v>23</v>
      </c>
      <c r="G40" s="6">
        <f>VLOOKUP(F40,Select!C:H,6,FALSE)</f>
        <v>1</v>
      </c>
      <c r="H40" s="5" t="s">
        <v>1414</v>
      </c>
      <c r="I40" s="5">
        <v>2</v>
      </c>
      <c r="J40" s="5"/>
      <c r="K40" s="5"/>
      <c r="L40" s="5"/>
      <c r="M40" s="5" t="b">
        <v>0</v>
      </c>
      <c r="N40" s="5" t="s">
        <v>477</v>
      </c>
      <c r="O40" s="6">
        <f>VLOOKUP(N40,Select!D:H,5,FALSE)</f>
        <v>0</v>
      </c>
    </row>
    <row r="41" spans="1:15">
      <c r="A41" s="7">
        <v>130210</v>
      </c>
      <c r="B41" s="1" t="s">
        <v>25</v>
      </c>
      <c r="C41" s="6">
        <f>VLOOKUP(B41,Select!A:H,8,FALSE)</f>
        <v>2</v>
      </c>
      <c r="D41" s="1" t="s">
        <v>30</v>
      </c>
      <c r="E41" s="6">
        <f>VLOOKUP(D41,Select!B:H,7,FALSE)</f>
        <v>3</v>
      </c>
      <c r="F41" s="1" t="s">
        <v>3</v>
      </c>
      <c r="G41" s="6">
        <f>VLOOKUP(F41,Select!C:H,6,FALSE)</f>
        <v>0</v>
      </c>
      <c r="H41" s="1" t="s">
        <v>1416</v>
      </c>
      <c r="I41" s="1">
        <v>1</v>
      </c>
      <c r="J41" s="1">
        <v>1</v>
      </c>
      <c r="K41" s="1">
        <v>1</v>
      </c>
      <c r="L41" s="1"/>
      <c r="M41" s="1" t="b">
        <v>0</v>
      </c>
      <c r="N41" s="1" t="s">
        <v>460</v>
      </c>
      <c r="O41" s="6">
        <f>VLOOKUP(N41,Select!D:H,5,FALSE)</f>
        <v>1</v>
      </c>
    </row>
    <row r="42" spans="1:15">
      <c r="A42" s="4">
        <v>130211</v>
      </c>
      <c r="B42" s="5" t="s">
        <v>25</v>
      </c>
      <c r="C42" s="6">
        <f>VLOOKUP(B42,Select!A:H,8,FALSE)</f>
        <v>2</v>
      </c>
      <c r="D42" s="5" t="s">
        <v>30</v>
      </c>
      <c r="E42" s="6">
        <f>VLOOKUP(D42,Select!B:H,7,FALSE)</f>
        <v>3</v>
      </c>
      <c r="F42" s="5" t="s">
        <v>3</v>
      </c>
      <c r="G42" s="6">
        <f>VLOOKUP(F42,Select!C:H,6,FALSE)</f>
        <v>0</v>
      </c>
      <c r="H42" s="5" t="s">
        <v>1417</v>
      </c>
      <c r="I42" s="5">
        <v>2</v>
      </c>
      <c r="J42" s="5">
        <v>1</v>
      </c>
      <c r="K42" s="5">
        <v>3</v>
      </c>
      <c r="L42" s="5"/>
      <c r="M42" s="5" t="b">
        <v>0</v>
      </c>
      <c r="N42" s="5" t="s">
        <v>460</v>
      </c>
      <c r="O42" s="6">
        <f>VLOOKUP(N42,Select!D:H,5,FALSE)</f>
        <v>1</v>
      </c>
    </row>
    <row r="43" spans="1:15">
      <c r="A43" s="7">
        <v>130212</v>
      </c>
      <c r="B43" s="1" t="s">
        <v>25</v>
      </c>
      <c r="C43" s="6">
        <f>VLOOKUP(B43,Select!A:H,8,FALSE)</f>
        <v>2</v>
      </c>
      <c r="D43" s="1" t="s">
        <v>30</v>
      </c>
      <c r="E43" s="6">
        <f>VLOOKUP(D43,Select!B:H,7,FALSE)</f>
        <v>3</v>
      </c>
      <c r="F43" s="1" t="s">
        <v>3</v>
      </c>
      <c r="G43" s="6">
        <f>VLOOKUP(F43,Select!C:H,6,FALSE)</f>
        <v>0</v>
      </c>
      <c r="H43" s="1" t="s">
        <v>1418</v>
      </c>
      <c r="I43" s="1">
        <v>6</v>
      </c>
      <c r="J43" s="1">
        <v>6</v>
      </c>
      <c r="K43" s="1">
        <v>6</v>
      </c>
      <c r="L43" s="1"/>
      <c r="M43" s="1" t="b">
        <v>0</v>
      </c>
      <c r="N43" s="1" t="s">
        <v>656</v>
      </c>
      <c r="O43" s="6">
        <f>VLOOKUP(N43,Select!D:H,5,FALSE)</f>
        <v>16</v>
      </c>
    </row>
    <row r="44" spans="1:15">
      <c r="A44" s="4">
        <v>130213</v>
      </c>
      <c r="B44" s="5" t="s">
        <v>25</v>
      </c>
      <c r="C44" s="6">
        <f>VLOOKUP(B44,Select!A:H,8,FALSE)</f>
        <v>2</v>
      </c>
      <c r="D44" s="5" t="s">
        <v>10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1421</v>
      </c>
      <c r="I44" s="5">
        <v>5</v>
      </c>
      <c r="J44" s="5">
        <v>2</v>
      </c>
      <c r="K44" s="5">
        <v>6</v>
      </c>
      <c r="L44" s="5"/>
      <c r="M44" s="5" t="b">
        <v>1</v>
      </c>
      <c r="N44" s="5" t="s">
        <v>477</v>
      </c>
      <c r="O44" s="6">
        <f>VLOOKUP(N44,Select!D:H,5,FALSE)</f>
        <v>0</v>
      </c>
    </row>
    <row r="45" spans="1:15">
      <c r="A45" s="7">
        <v>130214</v>
      </c>
      <c r="B45" s="1" t="s">
        <v>25</v>
      </c>
      <c r="C45" s="6">
        <f>VLOOKUP(B45,Select!A:H,8,FALSE)</f>
        <v>2</v>
      </c>
      <c r="D45" s="1" t="s">
        <v>21</v>
      </c>
      <c r="E45" s="6">
        <f>VLOOKUP(D45,Select!B:H,7,FALSE)</f>
        <v>2</v>
      </c>
      <c r="F45" s="1" t="s">
        <v>23</v>
      </c>
      <c r="G45" s="6">
        <f>VLOOKUP(F45,Select!C:H,6,FALSE)</f>
        <v>1</v>
      </c>
      <c r="H45" s="1" t="s">
        <v>1420</v>
      </c>
      <c r="I45" s="1">
        <v>0</v>
      </c>
      <c r="J45" s="1"/>
      <c r="K45" s="1"/>
      <c r="L45" s="1"/>
      <c r="M45" s="1" t="b">
        <v>1</v>
      </c>
      <c r="N45" s="1" t="s">
        <v>477</v>
      </c>
      <c r="O45" s="6">
        <f>VLOOKUP(N45,Select!D:H,5,FALSE)</f>
        <v>0</v>
      </c>
    </row>
    <row r="46" spans="1:15">
      <c r="A46" s="4">
        <v>130215</v>
      </c>
      <c r="B46" s="5" t="s">
        <v>25</v>
      </c>
      <c r="C46" s="6">
        <f>VLOOKUP(B46,Select!A:H,8,FALSE)</f>
        <v>2</v>
      </c>
      <c r="D46" s="5" t="s">
        <v>30</v>
      </c>
      <c r="E46" s="6">
        <f>VLOOKUP(D46,Select!B:H,7,FALSE)</f>
        <v>3</v>
      </c>
      <c r="F46" s="5" t="s">
        <v>3</v>
      </c>
      <c r="G46" s="6">
        <f>VLOOKUP(F46,Select!C:H,6,FALSE)</f>
        <v>0</v>
      </c>
      <c r="H46" s="5" t="s">
        <v>1419</v>
      </c>
      <c r="I46" s="5">
        <v>3</v>
      </c>
      <c r="J46" s="5">
        <v>3</v>
      </c>
      <c r="K46" s="5">
        <v>3</v>
      </c>
      <c r="L46" s="5"/>
      <c r="M46" s="5" t="b">
        <v>1</v>
      </c>
      <c r="N46" s="5" t="s">
        <v>656</v>
      </c>
      <c r="O46" s="6">
        <f>VLOOKUP(N46,Select!D:H,5,FALSE)</f>
        <v>16</v>
      </c>
    </row>
    <row r="47" spans="1:15">
      <c r="A47" s="7">
        <v>130216</v>
      </c>
      <c r="B47" s="1" t="s">
        <v>25</v>
      </c>
      <c r="C47" s="6">
        <f>VLOOKUP(B47,Select!A:H,8,FALSE)</f>
        <v>2</v>
      </c>
      <c r="D47" s="1" t="s">
        <v>30</v>
      </c>
      <c r="E47" s="6">
        <f>VLOOKUP(D47,Select!B:H,7,FALSE)</f>
        <v>3</v>
      </c>
      <c r="F47" s="1" t="s">
        <v>23</v>
      </c>
      <c r="G47" s="6">
        <f>VLOOKUP(F47,Select!C:H,6,FALSE)</f>
        <v>1</v>
      </c>
      <c r="H47" s="1" t="s">
        <v>1416</v>
      </c>
      <c r="I47" s="1">
        <v>1</v>
      </c>
      <c r="J47" s="1"/>
      <c r="K47" s="1"/>
      <c r="L47" s="1"/>
      <c r="M47" s="1" t="b">
        <v>1</v>
      </c>
      <c r="N47" s="1" t="s">
        <v>477</v>
      </c>
      <c r="O47" s="6">
        <f>VLOOKUP(N47,Select!D:H,5,FALSE)</f>
        <v>0</v>
      </c>
    </row>
    <row r="48" spans="1:15">
      <c r="A48" s="4">
        <v>130217</v>
      </c>
      <c r="B48" s="5" t="s">
        <v>25</v>
      </c>
      <c r="C48" s="6">
        <f>VLOOKUP(B48,Select!A:H,8,FALSE)</f>
        <v>2</v>
      </c>
      <c r="D48" s="5" t="s">
        <v>30</v>
      </c>
      <c r="E48" s="6">
        <f>VLOOKUP(D48,Select!B:H,7,FALSE)</f>
        <v>3</v>
      </c>
      <c r="F48" s="5" t="s">
        <v>23</v>
      </c>
      <c r="G48" s="6">
        <f>VLOOKUP(F48,Select!C:H,6,FALSE)</f>
        <v>1</v>
      </c>
      <c r="H48" s="5" t="s">
        <v>1416</v>
      </c>
      <c r="I48" s="5">
        <v>3</v>
      </c>
      <c r="J48" s="5"/>
      <c r="K48" s="5"/>
      <c r="L48" s="5"/>
      <c r="M48" s="5" t="b">
        <v>1</v>
      </c>
      <c r="N48" s="5" t="s">
        <v>477</v>
      </c>
      <c r="O48" s="6">
        <f>VLOOKUP(N48,Select!D:H,5,FALSE)</f>
        <v>0</v>
      </c>
    </row>
    <row r="49" spans="1:15">
      <c r="A49" s="7">
        <v>130300</v>
      </c>
      <c r="B49" s="1" t="s">
        <v>22</v>
      </c>
      <c r="C49" s="6">
        <f>VLOOKUP(B49,Select!A:H,8,FALSE)</f>
        <v>3</v>
      </c>
      <c r="D49" s="1" t="s">
        <v>10</v>
      </c>
      <c r="E49" s="6">
        <f>VLOOKUP(D49,Select!B:H,7,FALSE)</f>
        <v>0</v>
      </c>
      <c r="F49" s="1" t="s">
        <v>3</v>
      </c>
      <c r="G49" s="6">
        <f>VLOOKUP(F49,Select!C:H,6,FALSE)</f>
        <v>0</v>
      </c>
      <c r="H49" s="1" t="s">
        <v>1422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6">
        <f>VLOOKUP(N49,Select!D:H,5,FALSE)</f>
        <v>0</v>
      </c>
    </row>
    <row r="50" spans="1:15">
      <c r="A50" s="4">
        <v>130301</v>
      </c>
      <c r="B50" s="5" t="s">
        <v>22</v>
      </c>
      <c r="C50" s="6">
        <f>VLOOKUP(B50,Select!A:H,8,FALSE)</f>
        <v>3</v>
      </c>
      <c r="D50" s="5" t="s">
        <v>10</v>
      </c>
      <c r="E50" s="6">
        <f>VLOOKUP(D50,Select!B:H,7,FALSE)</f>
        <v>0</v>
      </c>
      <c r="F50" s="5" t="s">
        <v>3</v>
      </c>
      <c r="G50" s="6">
        <f>VLOOKUP(F50,Select!C:H,6,FALSE)</f>
        <v>0</v>
      </c>
      <c r="H50" s="5" t="s">
        <v>1423</v>
      </c>
      <c r="I50" s="5">
        <v>8</v>
      </c>
      <c r="J50" s="5">
        <v>8</v>
      </c>
      <c r="K50" s="5">
        <v>8</v>
      </c>
      <c r="L50" s="5"/>
      <c r="M50" s="5" t="b">
        <v>0</v>
      </c>
      <c r="N50" s="5" t="s">
        <v>477</v>
      </c>
      <c r="O50" s="6">
        <f>VLOOKUP(N50,Select!D:H,5,FALSE)</f>
        <v>0</v>
      </c>
    </row>
    <row r="51" spans="1:15">
      <c r="A51" s="7">
        <v>130302</v>
      </c>
      <c r="B51" s="1" t="s">
        <v>22</v>
      </c>
      <c r="C51" s="6">
        <f>VLOOKUP(B51,Select!A:H,8,FALSE)</f>
        <v>3</v>
      </c>
      <c r="D51" s="1" t="s">
        <v>10</v>
      </c>
      <c r="E51" s="6">
        <f>VLOOKUP(D51,Select!B:H,7,FALSE)</f>
        <v>0</v>
      </c>
      <c r="F51" s="1" t="s">
        <v>23</v>
      </c>
      <c r="G51" s="6">
        <f>VLOOKUP(F51,Select!C:H,6,FALSE)</f>
        <v>1</v>
      </c>
      <c r="H51" s="1" t="s">
        <v>1424</v>
      </c>
      <c r="I51" s="1">
        <v>3</v>
      </c>
      <c r="J51" s="1"/>
      <c r="K51" s="1"/>
      <c r="L51" s="1"/>
      <c r="M51" s="1" t="b">
        <v>0</v>
      </c>
      <c r="N51" s="1" t="s">
        <v>477</v>
      </c>
      <c r="O51" s="6">
        <f>VLOOKUP(N51,Select!D:H,5,FALSE)</f>
        <v>0</v>
      </c>
    </row>
    <row r="52" spans="1:15">
      <c r="A52" s="4">
        <v>130303</v>
      </c>
      <c r="B52" s="5" t="s">
        <v>22</v>
      </c>
      <c r="C52" s="6">
        <f>VLOOKUP(B52,Select!A:H,8,FALSE)</f>
        <v>3</v>
      </c>
      <c r="D52" s="5" t="s">
        <v>10</v>
      </c>
      <c r="E52" s="6">
        <f>VLOOKUP(D52,Select!B:H,7,FALSE)</f>
        <v>0</v>
      </c>
      <c r="F52" s="5" t="s">
        <v>23</v>
      </c>
      <c r="G52" s="6">
        <f>VLOOKUP(F52,Select!C:H,6,FALSE)</f>
        <v>1</v>
      </c>
      <c r="H52" s="5" t="s">
        <v>721</v>
      </c>
      <c r="I52" s="5">
        <v>5</v>
      </c>
      <c r="J52" s="5"/>
      <c r="K52" s="5"/>
      <c r="L52" s="5"/>
      <c r="M52" s="5" t="b">
        <v>0</v>
      </c>
      <c r="N52" s="5" t="s">
        <v>477</v>
      </c>
      <c r="O52" s="6">
        <f>VLOOKUP(N52,Select!D:H,5,FALSE)</f>
        <v>0</v>
      </c>
    </row>
    <row r="53" spans="1:15">
      <c r="A53" s="7">
        <v>130304</v>
      </c>
      <c r="B53" s="1" t="s">
        <v>22</v>
      </c>
      <c r="C53" s="6">
        <f>VLOOKUP(B53,Select!A:H,8,FALSE)</f>
        <v>3</v>
      </c>
      <c r="D53" s="1" t="s">
        <v>36</v>
      </c>
      <c r="E53" s="6">
        <f>VLOOKUP(D53,Select!B:H,7,FALSE)</f>
        <v>1</v>
      </c>
      <c r="F53" s="1" t="s">
        <v>3</v>
      </c>
      <c r="G53" s="6">
        <f>VLOOKUP(F53,Select!C:H,6,FALSE)</f>
        <v>0</v>
      </c>
      <c r="H53" s="1" t="s">
        <v>1425</v>
      </c>
      <c r="I53" s="1">
        <v>3</v>
      </c>
      <c r="J53" s="1">
        <v>3</v>
      </c>
      <c r="K53" s="1">
        <v>3</v>
      </c>
      <c r="L53" s="1"/>
      <c r="M53" s="1" t="b">
        <v>0</v>
      </c>
      <c r="N53" s="1" t="s">
        <v>477</v>
      </c>
      <c r="O53" s="6">
        <f>VLOOKUP(N53,Select!D:H,5,FALSE)</f>
        <v>0</v>
      </c>
    </row>
    <row r="54" spans="1:15">
      <c r="A54" s="4">
        <v>130305</v>
      </c>
      <c r="B54" s="5" t="s">
        <v>22</v>
      </c>
      <c r="C54" s="6">
        <f>VLOOKUP(B54,Select!A:H,8,FALSE)</f>
        <v>3</v>
      </c>
      <c r="D54" s="5" t="s">
        <v>36</v>
      </c>
      <c r="E54" s="6">
        <f>VLOOKUP(D54,Select!B:H,7,FALSE)</f>
        <v>1</v>
      </c>
      <c r="F54" s="5" t="s">
        <v>3</v>
      </c>
      <c r="G54" s="6">
        <f>VLOOKUP(F54,Select!C:H,6,FALSE)</f>
        <v>0</v>
      </c>
      <c r="H54" s="5" t="s">
        <v>1426</v>
      </c>
      <c r="I54" s="5">
        <v>3</v>
      </c>
      <c r="J54" s="5">
        <v>4</v>
      </c>
      <c r="K54" s="5">
        <v>1</v>
      </c>
      <c r="L54" s="5"/>
      <c r="M54" s="5" t="b">
        <v>0</v>
      </c>
      <c r="N54" s="5" t="s">
        <v>477</v>
      </c>
      <c r="O54" s="6">
        <f>VLOOKUP(N54,Select!D:H,5,FALSE)</f>
        <v>0</v>
      </c>
    </row>
    <row r="55" spans="1:15">
      <c r="A55" s="7">
        <v>130306</v>
      </c>
      <c r="B55" s="1" t="s">
        <v>22</v>
      </c>
      <c r="C55" s="6">
        <f>VLOOKUP(B55,Select!A:H,8,FALSE)</f>
        <v>3</v>
      </c>
      <c r="D55" s="1" t="s">
        <v>36</v>
      </c>
      <c r="E55" s="6">
        <f>VLOOKUP(D55,Select!B:H,7,FALSE)</f>
        <v>1</v>
      </c>
      <c r="F55" s="1" t="s">
        <v>23</v>
      </c>
      <c r="G55" s="6">
        <f>VLOOKUP(F55,Select!C:H,6,FALSE)</f>
        <v>1</v>
      </c>
      <c r="H55" s="1" t="s">
        <v>1427</v>
      </c>
      <c r="I55" s="1">
        <v>10</v>
      </c>
      <c r="J55" s="1"/>
      <c r="K55" s="1"/>
      <c r="L55" s="1"/>
      <c r="M55" s="1" t="b">
        <v>0</v>
      </c>
      <c r="N55" s="1" t="s">
        <v>477</v>
      </c>
      <c r="O55" s="6">
        <f>VLOOKUP(N55,Select!D:H,5,FALSE)</f>
        <v>0</v>
      </c>
    </row>
    <row r="56" spans="1:15">
      <c r="A56" s="4">
        <v>130307</v>
      </c>
      <c r="B56" s="5" t="s">
        <v>22</v>
      </c>
      <c r="C56" s="6">
        <f>VLOOKUP(B56,Select!A:H,8,FALSE)</f>
        <v>3</v>
      </c>
      <c r="D56" s="5" t="s">
        <v>21</v>
      </c>
      <c r="E56" s="6">
        <f>VLOOKUP(D56,Select!B:H,7,FALSE)</f>
        <v>2</v>
      </c>
      <c r="F56" s="5" t="s">
        <v>3</v>
      </c>
      <c r="G56" s="6">
        <f>VLOOKUP(F56,Select!C:H,6,FALSE)</f>
        <v>0</v>
      </c>
      <c r="H56" s="5" t="s">
        <v>1428</v>
      </c>
      <c r="I56" s="5">
        <v>2</v>
      </c>
      <c r="J56" s="5">
        <v>2</v>
      </c>
      <c r="K56" s="5">
        <v>2</v>
      </c>
      <c r="L56" s="5"/>
      <c r="M56" s="5" t="b">
        <v>0</v>
      </c>
      <c r="N56" s="5" t="s">
        <v>477</v>
      </c>
      <c r="O56" s="6">
        <f>VLOOKUP(N56,Select!D:H,5,FALSE)</f>
        <v>0</v>
      </c>
    </row>
    <row r="57" spans="1:15">
      <c r="A57" s="7">
        <v>130308</v>
      </c>
      <c r="B57" s="1" t="s">
        <v>22</v>
      </c>
      <c r="C57" s="6">
        <f>VLOOKUP(B57,Select!A:H,8,FALSE)</f>
        <v>3</v>
      </c>
      <c r="D57" s="1" t="s">
        <v>21</v>
      </c>
      <c r="E57" s="6">
        <f>VLOOKUP(D57,Select!B:H,7,FALSE)</f>
        <v>2</v>
      </c>
      <c r="F57" s="1" t="s">
        <v>23</v>
      </c>
      <c r="G57" s="6">
        <f>VLOOKUP(F57,Select!C:H,6,FALSE)</f>
        <v>1</v>
      </c>
      <c r="H57" s="1" t="s">
        <v>1429</v>
      </c>
      <c r="I57" s="1">
        <v>2</v>
      </c>
      <c r="J57" s="1"/>
      <c r="K57" s="1"/>
      <c r="L57" s="1"/>
      <c r="M57" s="1" t="b">
        <v>0</v>
      </c>
      <c r="N57" s="1" t="s">
        <v>477</v>
      </c>
      <c r="O57" s="6">
        <f>VLOOKUP(N57,Select!D:H,5,FALSE)</f>
        <v>0</v>
      </c>
    </row>
    <row r="58" spans="1:15">
      <c r="A58" s="4">
        <v>130309</v>
      </c>
      <c r="B58" s="5" t="s">
        <v>22</v>
      </c>
      <c r="C58" s="6">
        <f>VLOOKUP(B58,Select!A:H,8,FALSE)</f>
        <v>3</v>
      </c>
      <c r="D58" s="5" t="s">
        <v>21</v>
      </c>
      <c r="E58" s="6">
        <f>VLOOKUP(D58,Select!B:H,7,FALSE)</f>
        <v>2</v>
      </c>
      <c r="F58" s="5" t="s">
        <v>23</v>
      </c>
      <c r="G58" s="6">
        <f>VLOOKUP(F58,Select!C:H,6,FALSE)</f>
        <v>1</v>
      </c>
      <c r="H58" s="5" t="s">
        <v>1430</v>
      </c>
      <c r="I58" s="5">
        <v>3</v>
      </c>
      <c r="J58" s="5"/>
      <c r="K58" s="5"/>
      <c r="L58" s="5"/>
      <c r="M58" s="5" t="b">
        <v>0</v>
      </c>
      <c r="N58" s="5" t="s">
        <v>477</v>
      </c>
      <c r="O58" s="6">
        <f>VLOOKUP(N58,Select!D:H,5,FALSE)</f>
        <v>0</v>
      </c>
    </row>
    <row r="59" spans="1:15">
      <c r="A59" s="7">
        <v>130310</v>
      </c>
      <c r="B59" s="1" t="s">
        <v>22</v>
      </c>
      <c r="C59" s="6">
        <f>VLOOKUP(B59,Select!A:H,8,FALSE)</f>
        <v>3</v>
      </c>
      <c r="D59" s="1" t="s">
        <v>30</v>
      </c>
      <c r="E59" s="6">
        <f>VLOOKUP(D59,Select!B:H,7,FALSE)</f>
        <v>3</v>
      </c>
      <c r="F59" s="1" t="s">
        <v>3</v>
      </c>
      <c r="G59" s="6">
        <f>VLOOKUP(F59,Select!C:H,6,FALSE)</f>
        <v>0</v>
      </c>
      <c r="H59" s="1" t="s">
        <v>1431</v>
      </c>
      <c r="I59" s="1">
        <v>1</v>
      </c>
      <c r="J59" s="1">
        <v>1</v>
      </c>
      <c r="K59" s="1">
        <v>1</v>
      </c>
      <c r="L59" s="1"/>
      <c r="M59" s="1" t="b">
        <v>0</v>
      </c>
      <c r="N59" s="1" t="s">
        <v>477</v>
      </c>
      <c r="O59" s="6">
        <f>VLOOKUP(N59,Select!D:H,5,FALSE)</f>
        <v>0</v>
      </c>
    </row>
    <row r="60" spans="1:15">
      <c r="A60" s="4">
        <v>130311</v>
      </c>
      <c r="B60" s="5" t="s">
        <v>22</v>
      </c>
      <c r="C60" s="6">
        <f>VLOOKUP(B60,Select!A:H,8,FALSE)</f>
        <v>3</v>
      </c>
      <c r="D60" s="5" t="s">
        <v>30</v>
      </c>
      <c r="E60" s="6">
        <f>VLOOKUP(D60,Select!B:H,7,FALSE)</f>
        <v>3</v>
      </c>
      <c r="F60" s="5" t="s">
        <v>3</v>
      </c>
      <c r="G60" s="6">
        <f>VLOOKUP(F60,Select!C:H,6,FALSE)</f>
        <v>0</v>
      </c>
      <c r="H60" s="5" t="s">
        <v>1432</v>
      </c>
      <c r="I60" s="5">
        <v>2</v>
      </c>
      <c r="J60" s="5">
        <v>2</v>
      </c>
      <c r="K60" s="5">
        <v>1</v>
      </c>
      <c r="L60" s="5"/>
      <c r="M60" s="5" t="b">
        <v>0</v>
      </c>
      <c r="N60" s="5" t="s">
        <v>477</v>
      </c>
      <c r="O60" s="6">
        <f>VLOOKUP(N60,Select!D:H,5,FALSE)</f>
        <v>0</v>
      </c>
    </row>
    <row r="61" spans="1:15">
      <c r="A61" s="7">
        <v>130312</v>
      </c>
      <c r="B61" s="1" t="s">
        <v>22</v>
      </c>
      <c r="C61" s="6">
        <f>VLOOKUP(B61,Select!A:H,8,FALSE)</f>
        <v>3</v>
      </c>
      <c r="D61" s="1" t="s">
        <v>30</v>
      </c>
      <c r="E61" s="6">
        <f>VLOOKUP(D61,Select!B:H,7,FALSE)</f>
        <v>3</v>
      </c>
      <c r="F61" s="1" t="s">
        <v>3</v>
      </c>
      <c r="G61" s="6">
        <f>VLOOKUP(F61,Select!C:H,6,FALSE)</f>
        <v>0</v>
      </c>
      <c r="H61" s="1" t="s">
        <v>1433</v>
      </c>
      <c r="I61" s="1">
        <v>3</v>
      </c>
      <c r="J61" s="1">
        <v>3</v>
      </c>
      <c r="K61" s="1">
        <v>3</v>
      </c>
      <c r="L61" s="1"/>
      <c r="M61" s="1" t="b">
        <v>0</v>
      </c>
      <c r="N61" s="1" t="s">
        <v>477</v>
      </c>
      <c r="O61" s="6">
        <f>VLOOKUP(N61,Select!D:H,5,FALSE)</f>
        <v>0</v>
      </c>
    </row>
    <row r="62" spans="1:15">
      <c r="A62" s="4">
        <v>130313</v>
      </c>
      <c r="B62" s="5" t="s">
        <v>22</v>
      </c>
      <c r="C62" s="6">
        <f>VLOOKUP(B62,Select!A:H,8,FALSE)</f>
        <v>3</v>
      </c>
      <c r="D62" s="5" t="s">
        <v>10</v>
      </c>
      <c r="E62" s="6">
        <f>VLOOKUP(D62,Select!B:H,7,FALSE)</f>
        <v>0</v>
      </c>
      <c r="F62" s="5" t="s">
        <v>3</v>
      </c>
      <c r="G62" s="6">
        <f>VLOOKUP(F62,Select!C:H,6,FALSE)</f>
        <v>0</v>
      </c>
      <c r="H62" s="5" t="s">
        <v>1436</v>
      </c>
      <c r="I62" s="5">
        <v>1</v>
      </c>
      <c r="J62" s="5">
        <v>1</v>
      </c>
      <c r="K62" s="5">
        <v>1</v>
      </c>
      <c r="L62" s="5"/>
      <c r="M62" s="5" t="b">
        <v>1</v>
      </c>
      <c r="N62" s="5" t="s">
        <v>1440</v>
      </c>
      <c r="O62" s="6">
        <f>VLOOKUP(N62,Select!D:H,5,FALSE)</f>
        <v>0</v>
      </c>
    </row>
    <row r="63" spans="1:15">
      <c r="A63" s="7">
        <v>130314</v>
      </c>
      <c r="B63" s="1" t="s">
        <v>22</v>
      </c>
      <c r="C63" s="6">
        <f>VLOOKUP(B63,Select!A:H,8,FALSE)</f>
        <v>3</v>
      </c>
      <c r="D63" s="1" t="s">
        <v>10</v>
      </c>
      <c r="E63" s="6">
        <f>VLOOKUP(D63,Select!B:H,7,FALSE)</f>
        <v>0</v>
      </c>
      <c r="F63" s="1" t="s">
        <v>34</v>
      </c>
      <c r="G63" s="6">
        <f>VLOOKUP(F63,Select!C:H,6,FALSE)</f>
        <v>2</v>
      </c>
      <c r="H63" s="1" t="s">
        <v>233</v>
      </c>
      <c r="I63" s="1">
        <v>1</v>
      </c>
      <c r="J63" s="1"/>
      <c r="K63" s="1"/>
      <c r="L63" s="1"/>
      <c r="M63" s="1" t="b">
        <v>1</v>
      </c>
      <c r="N63" s="1" t="s">
        <v>465</v>
      </c>
      <c r="O63" s="6">
        <f>VLOOKUP(N63,Select!D:H,5,FALSE)</f>
        <v>6</v>
      </c>
    </row>
    <row r="64" spans="1:15">
      <c r="A64" s="4">
        <v>130315</v>
      </c>
      <c r="B64" s="5" t="s">
        <v>22</v>
      </c>
      <c r="C64" s="6">
        <f>VLOOKUP(B64,Select!A:H,8,FALSE)</f>
        <v>3</v>
      </c>
      <c r="D64" s="5" t="s">
        <v>21</v>
      </c>
      <c r="E64" s="6">
        <f>VLOOKUP(D64,Select!B:H,7,FALSE)</f>
        <v>2</v>
      </c>
      <c r="F64" s="5" t="s">
        <v>3</v>
      </c>
      <c r="G64" s="6">
        <f>VLOOKUP(F64,Select!C:H,6,FALSE)</f>
        <v>0</v>
      </c>
      <c r="H64" s="5" t="s">
        <v>1441</v>
      </c>
      <c r="I64" s="5">
        <v>2</v>
      </c>
      <c r="J64" s="5">
        <v>2</v>
      </c>
      <c r="K64" s="5">
        <v>2</v>
      </c>
      <c r="L64" s="5"/>
      <c r="M64" s="5" t="b">
        <v>1</v>
      </c>
      <c r="N64" s="5" t="s">
        <v>477</v>
      </c>
      <c r="O64" s="6">
        <f>VLOOKUP(N64,Select!D:H,5,FALSE)</f>
        <v>0</v>
      </c>
    </row>
    <row r="65" spans="1:15">
      <c r="A65" s="7">
        <v>130316</v>
      </c>
      <c r="B65" s="1" t="s">
        <v>22</v>
      </c>
      <c r="C65" s="6">
        <f>VLOOKUP(B65,Select!A:H,8,FALSE)</f>
        <v>3</v>
      </c>
      <c r="D65" s="1" t="s">
        <v>21</v>
      </c>
      <c r="E65" s="6">
        <f>VLOOKUP(D65,Select!B:H,7,FALSE)</f>
        <v>2</v>
      </c>
      <c r="F65" s="1" t="s">
        <v>3</v>
      </c>
      <c r="G65" s="6">
        <f>VLOOKUP(F65,Select!C:H,6,FALSE)</f>
        <v>0</v>
      </c>
      <c r="H65" s="1" t="s">
        <v>1442</v>
      </c>
      <c r="I65" s="1">
        <v>2</v>
      </c>
      <c r="J65" s="1">
        <v>1</v>
      </c>
      <c r="K65" s="1">
        <v>3</v>
      </c>
      <c r="L65" s="1"/>
      <c r="M65" s="1" t="b">
        <v>1</v>
      </c>
      <c r="N65" s="1" t="s">
        <v>477</v>
      </c>
      <c r="O65" s="6">
        <f>VLOOKUP(N65,Select!D:H,5,FALSE)</f>
        <v>0</v>
      </c>
    </row>
    <row r="66" spans="1:15">
      <c r="A66" s="4">
        <v>130317</v>
      </c>
      <c r="B66" s="5" t="s">
        <v>22</v>
      </c>
      <c r="C66" s="6">
        <f>VLOOKUP(B66,Select!A:H,8,FALSE)</f>
        <v>3</v>
      </c>
      <c r="D66" s="5" t="s">
        <v>21</v>
      </c>
      <c r="E66" s="6">
        <f>VLOOKUP(D66,Select!B:H,7,FALSE)</f>
        <v>2</v>
      </c>
      <c r="F66" s="5" t="s">
        <v>23</v>
      </c>
      <c r="G66" s="6">
        <f>VLOOKUP(F66,Select!C:H,6,FALSE)</f>
        <v>1</v>
      </c>
      <c r="H66" s="5" t="s">
        <v>1443</v>
      </c>
      <c r="I66" s="5">
        <v>6</v>
      </c>
      <c r="J66" s="5"/>
      <c r="K66" s="5"/>
      <c r="L66" s="5"/>
      <c r="M66" s="5" t="b">
        <v>1</v>
      </c>
      <c r="N66" s="5" t="s">
        <v>477</v>
      </c>
      <c r="O66" s="6">
        <f>VLOOKUP(N66,Select!D:H,5,FALSE)</f>
        <v>0</v>
      </c>
    </row>
    <row r="67" spans="1:15">
      <c r="A67" s="7">
        <v>130318</v>
      </c>
      <c r="B67" s="1" t="s">
        <v>22</v>
      </c>
      <c r="C67" s="6">
        <f>VLOOKUP(B67,Select!A:H,8,FALSE)</f>
        <v>3</v>
      </c>
      <c r="D67" s="1" t="s">
        <v>30</v>
      </c>
      <c r="E67" s="6">
        <f>VLOOKUP(D67,Select!B:H,7,FALSE)</f>
        <v>3</v>
      </c>
      <c r="F67" s="1" t="s">
        <v>3</v>
      </c>
      <c r="G67" s="6">
        <f>VLOOKUP(F67,Select!C:H,6,FALSE)</f>
        <v>0</v>
      </c>
      <c r="H67" s="1" t="s">
        <v>1444</v>
      </c>
      <c r="I67" s="1">
        <v>7</v>
      </c>
      <c r="J67" s="1">
        <v>7</v>
      </c>
      <c r="K67" s="1">
        <v>7</v>
      </c>
      <c r="L67" s="1"/>
      <c r="M67" s="1" t="b">
        <v>1</v>
      </c>
      <c r="N67" s="1" t="s">
        <v>477</v>
      </c>
      <c r="O67" s="6">
        <f>VLOOKUP(N67,Select!D:H,5,FALSE)</f>
        <v>0</v>
      </c>
    </row>
    <row r="68" spans="1:15">
      <c r="A68" s="4">
        <v>130400</v>
      </c>
      <c r="B68" s="5" t="s">
        <v>26</v>
      </c>
      <c r="C68" s="6">
        <f>VLOOKUP(B68,Select!A:H,8,FALSE)</f>
        <v>4</v>
      </c>
      <c r="D68" s="5" t="s">
        <v>10</v>
      </c>
      <c r="E68" s="6">
        <f>VLOOKUP(D68,Select!B:H,7,FALSE)</f>
        <v>0</v>
      </c>
      <c r="F68" s="5" t="s">
        <v>3</v>
      </c>
      <c r="G68" s="6">
        <f>VLOOKUP(F68,Select!C:H,6,FALSE)</f>
        <v>0</v>
      </c>
      <c r="H68" s="5" t="s">
        <v>1445</v>
      </c>
      <c r="I68" s="5">
        <v>1</v>
      </c>
      <c r="J68" s="5">
        <v>1</v>
      </c>
      <c r="K68" s="5">
        <v>1</v>
      </c>
      <c r="L68" s="5"/>
      <c r="M68" s="5" t="b">
        <v>0</v>
      </c>
      <c r="N68" s="5" t="s">
        <v>477</v>
      </c>
      <c r="O68" s="6">
        <f>VLOOKUP(N68,Select!D:H,5,FALSE)</f>
        <v>0</v>
      </c>
    </row>
    <row r="69" spans="1:15">
      <c r="A69" s="7">
        <v>130401</v>
      </c>
      <c r="B69" s="1" t="s">
        <v>26</v>
      </c>
      <c r="C69" s="6">
        <f>VLOOKUP(B69,Select!A:H,8,FALSE)</f>
        <v>4</v>
      </c>
      <c r="D69" s="1" t="s">
        <v>10</v>
      </c>
      <c r="E69" s="6">
        <f>VLOOKUP(D69,Select!B:H,7,FALSE)</f>
        <v>0</v>
      </c>
      <c r="F69" s="1" t="s">
        <v>3</v>
      </c>
      <c r="G69" s="6">
        <f>VLOOKUP(F69,Select!C:H,6,FALSE)</f>
        <v>0</v>
      </c>
      <c r="H69" s="1" t="s">
        <v>1446</v>
      </c>
      <c r="I69" s="1">
        <v>3</v>
      </c>
      <c r="J69" s="1">
        <v>3</v>
      </c>
      <c r="K69" s="1">
        <v>2</v>
      </c>
      <c r="L69" s="1"/>
      <c r="M69" s="1" t="b">
        <v>0</v>
      </c>
      <c r="N69" s="1" t="s">
        <v>477</v>
      </c>
      <c r="O69" s="6">
        <f>VLOOKUP(N69,Select!D:H,5,FALSE)</f>
        <v>0</v>
      </c>
    </row>
    <row r="70" spans="1:15">
      <c r="A70" s="4">
        <v>130402</v>
      </c>
      <c r="B70" s="5" t="s">
        <v>26</v>
      </c>
      <c r="C70" s="6">
        <f>VLOOKUP(B70,Select!A:H,8,FALSE)</f>
        <v>4</v>
      </c>
      <c r="D70" s="5" t="s">
        <v>10</v>
      </c>
      <c r="E70" s="6">
        <f>VLOOKUP(D70,Select!B:H,7,FALSE)</f>
        <v>0</v>
      </c>
      <c r="F70" s="5" t="s">
        <v>3</v>
      </c>
      <c r="G70" s="6">
        <f>VLOOKUP(F70,Select!C:H,6,FALSE)</f>
        <v>0</v>
      </c>
      <c r="H70" s="5" t="s">
        <v>1447</v>
      </c>
      <c r="I70" s="5">
        <v>7</v>
      </c>
      <c r="J70" s="5">
        <v>4</v>
      </c>
      <c r="K70" s="5">
        <v>7</v>
      </c>
      <c r="L70" s="5"/>
      <c r="M70" s="5" t="b">
        <v>0</v>
      </c>
      <c r="N70" s="5" t="s">
        <v>477</v>
      </c>
      <c r="O70" s="6">
        <f>VLOOKUP(N70,Select!D:H,5,FALSE)</f>
        <v>0</v>
      </c>
    </row>
    <row r="71" spans="1:15">
      <c r="A71" s="7">
        <v>130403</v>
      </c>
      <c r="B71" s="1" t="s">
        <v>26</v>
      </c>
      <c r="C71" s="6">
        <f>VLOOKUP(B71,Select!A:H,8,FALSE)</f>
        <v>4</v>
      </c>
      <c r="D71" s="1" t="s">
        <v>10</v>
      </c>
      <c r="E71" s="6">
        <f>VLOOKUP(D71,Select!B:H,7,FALSE)</f>
        <v>0</v>
      </c>
      <c r="F71" s="1" t="s">
        <v>23</v>
      </c>
      <c r="G71" s="6">
        <f>VLOOKUP(F71,Select!C:H,6,FALSE)</f>
        <v>1</v>
      </c>
      <c r="H71" s="1" t="s">
        <v>1448</v>
      </c>
      <c r="I71" s="1">
        <v>2</v>
      </c>
      <c r="J71" s="1"/>
      <c r="K71" s="1"/>
      <c r="L71" s="1"/>
      <c r="M71" s="1" t="b">
        <v>0</v>
      </c>
      <c r="N71" s="1" t="s">
        <v>477</v>
      </c>
      <c r="O71" s="6">
        <f>VLOOKUP(N71,Select!D:H,5,FALSE)</f>
        <v>0</v>
      </c>
    </row>
    <row r="72" spans="1:15">
      <c r="A72" s="4">
        <v>130404</v>
      </c>
      <c r="B72" s="5" t="s">
        <v>26</v>
      </c>
      <c r="C72" s="6">
        <f>VLOOKUP(B72,Select!A:H,8,FALSE)</f>
        <v>4</v>
      </c>
      <c r="D72" s="5" t="s">
        <v>36</v>
      </c>
      <c r="E72" s="6">
        <f>VLOOKUP(D72,Select!B:H,7,FALSE)</f>
        <v>1</v>
      </c>
      <c r="F72" s="5" t="s">
        <v>4</v>
      </c>
      <c r="G72" s="6">
        <f>VLOOKUP(F72,Select!C:H,6,FALSE)</f>
        <v>0</v>
      </c>
      <c r="H72" s="5" t="s">
        <v>1449</v>
      </c>
      <c r="I72" s="5">
        <v>2</v>
      </c>
      <c r="J72" s="5">
        <v>2</v>
      </c>
      <c r="K72" s="5">
        <v>2</v>
      </c>
      <c r="L72" s="5"/>
      <c r="M72" s="5" t="b">
        <v>0</v>
      </c>
      <c r="N72" s="5" t="s">
        <v>477</v>
      </c>
      <c r="O72" s="6">
        <f>VLOOKUP(N72,Select!D:H,5,FALSE)</f>
        <v>0</v>
      </c>
    </row>
    <row r="73" spans="1:15">
      <c r="A73" s="7">
        <v>130405</v>
      </c>
      <c r="B73" s="1" t="s">
        <v>26</v>
      </c>
      <c r="C73" s="6">
        <f>VLOOKUP(B73,Select!A:H,8,FALSE)</f>
        <v>4</v>
      </c>
      <c r="D73" s="1" t="s">
        <v>36</v>
      </c>
      <c r="E73" s="6">
        <f>VLOOKUP(D73,Select!B:H,7,FALSE)</f>
        <v>1</v>
      </c>
      <c r="F73" s="1" t="s">
        <v>3</v>
      </c>
      <c r="G73" s="6">
        <f>VLOOKUP(F73,Select!C:H,6,FALSE)</f>
        <v>0</v>
      </c>
      <c r="H73" s="1" t="s">
        <v>1450</v>
      </c>
      <c r="I73" s="1">
        <v>4</v>
      </c>
      <c r="J73" s="1">
        <v>3</v>
      </c>
      <c r="K73" s="1">
        <v>3</v>
      </c>
      <c r="L73" s="1"/>
      <c r="M73" s="1" t="b">
        <v>0</v>
      </c>
      <c r="N73" s="1" t="s">
        <v>477</v>
      </c>
      <c r="O73" s="6">
        <f>VLOOKUP(N73,Select!D:H,5,FALSE)</f>
        <v>0</v>
      </c>
    </row>
    <row r="74" spans="1:15">
      <c r="A74" s="4">
        <v>130406</v>
      </c>
      <c r="B74" s="5" t="s">
        <v>26</v>
      </c>
      <c r="C74" s="6">
        <f>VLOOKUP(B74,Select!A:H,8,FALSE)</f>
        <v>4</v>
      </c>
      <c r="D74" s="5" t="s">
        <v>36</v>
      </c>
      <c r="E74" s="6">
        <f>VLOOKUP(D74,Select!B:H,7,FALSE)</f>
        <v>1</v>
      </c>
      <c r="F74" s="5" t="s">
        <v>23</v>
      </c>
      <c r="G74" s="6">
        <f>VLOOKUP(F74,Select!C:H,6,FALSE)</f>
        <v>1</v>
      </c>
      <c r="H74" s="5" t="s">
        <v>1451</v>
      </c>
      <c r="I74" s="5">
        <v>8</v>
      </c>
      <c r="J74" s="5"/>
      <c r="K74" s="5"/>
      <c r="L74" s="5"/>
      <c r="M74" s="5" t="b">
        <v>0</v>
      </c>
      <c r="N74" s="5" t="s">
        <v>477</v>
      </c>
      <c r="O74" s="6">
        <f>VLOOKUP(N74,Select!D:H,5,FALSE)</f>
        <v>0</v>
      </c>
    </row>
    <row r="75" spans="1:15">
      <c r="A75" s="7">
        <v>130407</v>
      </c>
      <c r="B75" s="1" t="s">
        <v>26</v>
      </c>
      <c r="C75" s="6">
        <f>VLOOKUP(B75,Select!A:H,8,FALSE)</f>
        <v>4</v>
      </c>
      <c r="D75" s="1" t="s">
        <v>21</v>
      </c>
      <c r="E75" s="6">
        <f>VLOOKUP(D75,Select!B:H,7,FALSE)</f>
        <v>2</v>
      </c>
      <c r="F75" s="1" t="s">
        <v>3</v>
      </c>
      <c r="G75" s="6">
        <f>VLOOKUP(F75,Select!C:H,6,FALSE)</f>
        <v>0</v>
      </c>
      <c r="H75" s="1" t="s">
        <v>1452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662</v>
      </c>
      <c r="O75" s="6">
        <f>VLOOKUP(N75,Select!D:H,5,FALSE)</f>
        <v>0</v>
      </c>
    </row>
    <row r="76" spans="1:15">
      <c r="A76" s="4">
        <v>130408</v>
      </c>
      <c r="B76" s="5" t="s">
        <v>26</v>
      </c>
      <c r="C76" s="6">
        <f>VLOOKUP(B76,Select!A:H,8,FALSE)</f>
        <v>4</v>
      </c>
      <c r="D76" s="5" t="s">
        <v>21</v>
      </c>
      <c r="E76" s="6">
        <f>VLOOKUP(D76,Select!B:H,7,FALSE)</f>
        <v>2</v>
      </c>
      <c r="F76" s="5" t="s">
        <v>3</v>
      </c>
      <c r="G76" s="6">
        <f>VLOOKUP(F76,Select!C:H,6,FALSE)</f>
        <v>0</v>
      </c>
      <c r="H76" s="5" t="s">
        <v>1453</v>
      </c>
      <c r="I76" s="5">
        <v>2</v>
      </c>
      <c r="J76" s="5">
        <v>2</v>
      </c>
      <c r="K76" s="5">
        <v>2</v>
      </c>
      <c r="L76" s="5"/>
      <c r="M76" s="5" t="b">
        <v>0</v>
      </c>
      <c r="N76" s="5" t="s">
        <v>477</v>
      </c>
      <c r="O76" s="6">
        <f>VLOOKUP(N76,Select!D:H,5,FALSE)</f>
        <v>0</v>
      </c>
    </row>
    <row r="77" spans="1:15">
      <c r="A77" s="7">
        <v>130409</v>
      </c>
      <c r="B77" s="1" t="s">
        <v>26</v>
      </c>
      <c r="C77" s="6">
        <f>VLOOKUP(B77,Select!A:H,8,FALSE)</f>
        <v>4</v>
      </c>
      <c r="D77" s="1" t="s">
        <v>21</v>
      </c>
      <c r="E77" s="6">
        <f>VLOOKUP(D77,Select!B:H,7,FALSE)</f>
        <v>2</v>
      </c>
      <c r="F77" s="1" t="s">
        <v>5</v>
      </c>
      <c r="G77" s="6">
        <f>VLOOKUP(F77,Select!C:H,6,FALSE)</f>
        <v>1</v>
      </c>
      <c r="H77" s="1" t="s">
        <v>1454</v>
      </c>
      <c r="I77" s="1">
        <v>2</v>
      </c>
      <c r="J77" s="1"/>
      <c r="K77" s="1"/>
      <c r="L77" s="1"/>
      <c r="M77" s="1" t="b">
        <v>0</v>
      </c>
      <c r="N77" s="1" t="s">
        <v>477</v>
      </c>
      <c r="O77" s="6">
        <f>VLOOKUP(N77,Select!D:H,5,FALSE)</f>
        <v>0</v>
      </c>
    </row>
    <row r="78" spans="1:15">
      <c r="A78" s="4">
        <v>130410</v>
      </c>
      <c r="B78" s="5" t="s">
        <v>26</v>
      </c>
      <c r="C78" s="6">
        <f>VLOOKUP(B78,Select!A:H,8,FALSE)</f>
        <v>4</v>
      </c>
      <c r="D78" s="5" t="s">
        <v>30</v>
      </c>
      <c r="E78" s="6">
        <f>VLOOKUP(D78,Select!B:H,7,FALSE)</f>
        <v>3</v>
      </c>
      <c r="F78" s="5" t="s">
        <v>3</v>
      </c>
      <c r="G78" s="6">
        <f>VLOOKUP(F78,Select!C:H,6,FALSE)</f>
        <v>0</v>
      </c>
      <c r="H78" s="5" t="s">
        <v>1455</v>
      </c>
      <c r="I78" s="5">
        <v>2</v>
      </c>
      <c r="J78" s="5">
        <v>2</v>
      </c>
      <c r="K78" s="5">
        <v>2</v>
      </c>
      <c r="L78" s="5"/>
      <c r="M78" s="5" t="b">
        <v>0</v>
      </c>
      <c r="N78" s="5" t="s">
        <v>477</v>
      </c>
      <c r="O78" s="6">
        <f>VLOOKUP(N78,Select!D:H,5,FALSE)</f>
        <v>0</v>
      </c>
    </row>
    <row r="79" spans="1:15">
      <c r="A79" s="7">
        <v>130411</v>
      </c>
      <c r="B79" s="1" t="s">
        <v>26</v>
      </c>
      <c r="C79" s="6">
        <f>VLOOKUP(B79,Select!A:H,8,FALSE)</f>
        <v>4</v>
      </c>
      <c r="D79" s="1" t="s">
        <v>30</v>
      </c>
      <c r="E79" s="6">
        <f>VLOOKUP(D79,Select!B:H,7,FALSE)</f>
        <v>3</v>
      </c>
      <c r="F79" s="1" t="s">
        <v>3</v>
      </c>
      <c r="G79" s="6">
        <f>VLOOKUP(F79,Select!C:H,6,FALSE)</f>
        <v>0</v>
      </c>
      <c r="H79" s="1" t="s">
        <v>1456</v>
      </c>
      <c r="I79" s="1">
        <v>10</v>
      </c>
      <c r="J79" s="1">
        <v>10</v>
      </c>
      <c r="K79" s="1">
        <v>5</v>
      </c>
      <c r="L79" s="1"/>
      <c r="M79" s="1" t="b">
        <v>0</v>
      </c>
      <c r="N79" s="1" t="s">
        <v>477</v>
      </c>
      <c r="O79" s="6">
        <f>VLOOKUP(N79,Select!D:H,5,FALSE)</f>
        <v>0</v>
      </c>
    </row>
    <row r="80" spans="1:15">
      <c r="A80" s="4">
        <v>130412</v>
      </c>
      <c r="B80" s="5" t="s">
        <v>26</v>
      </c>
      <c r="C80" s="6">
        <f>VLOOKUP(B80,Select!A:H,8,FALSE)</f>
        <v>4</v>
      </c>
      <c r="D80" s="5" t="s">
        <v>30</v>
      </c>
      <c r="E80" s="6">
        <f>VLOOKUP(D80,Select!B:H,7,FALSE)</f>
        <v>3</v>
      </c>
      <c r="F80" s="5" t="s">
        <v>3</v>
      </c>
      <c r="G80" s="6">
        <f>VLOOKUP(F80,Select!C:H,6,FALSE)</f>
        <v>0</v>
      </c>
      <c r="H80" s="5" t="s">
        <v>1457</v>
      </c>
      <c r="I80" s="5">
        <v>10</v>
      </c>
      <c r="J80" s="5">
        <v>6</v>
      </c>
      <c r="K80" s="5">
        <v>8</v>
      </c>
      <c r="L80" s="5"/>
      <c r="M80" s="5" t="b">
        <v>0</v>
      </c>
      <c r="N80" s="5" t="s">
        <v>477</v>
      </c>
      <c r="O80" s="6">
        <f>VLOOKUP(N80,Select!D:H,5,FALSE)</f>
        <v>0</v>
      </c>
    </row>
    <row r="81" spans="1:15">
      <c r="A81" s="7">
        <v>130413</v>
      </c>
      <c r="B81" s="1" t="s">
        <v>26</v>
      </c>
      <c r="C81" s="6">
        <f>VLOOKUP(B81,Select!A:H,8,FALSE)</f>
        <v>4</v>
      </c>
      <c r="D81" s="1" t="s">
        <v>36</v>
      </c>
      <c r="E81" s="6">
        <f>VLOOKUP(D81,Select!B:H,7,FALSE)</f>
        <v>1</v>
      </c>
      <c r="F81" s="1" t="s">
        <v>3</v>
      </c>
      <c r="G81" s="6">
        <f>VLOOKUP(F81,Select!C:H,6,FALSE)</f>
        <v>0</v>
      </c>
      <c r="H81" s="1" t="s">
        <v>1459</v>
      </c>
      <c r="I81" s="1">
        <v>7</v>
      </c>
      <c r="J81" s="1">
        <v>5</v>
      </c>
      <c r="K81" s="1">
        <v>7</v>
      </c>
      <c r="L81" s="1"/>
      <c r="M81" s="1" t="b">
        <v>1</v>
      </c>
      <c r="N81" s="1" t="s">
        <v>477</v>
      </c>
      <c r="O81" s="6">
        <f>VLOOKUP(N81,Select!D:H,5,FALSE)</f>
        <v>0</v>
      </c>
    </row>
    <row r="82" spans="1:15">
      <c r="A82" s="4">
        <v>130414</v>
      </c>
      <c r="B82" s="5" t="s">
        <v>26</v>
      </c>
      <c r="C82" s="6">
        <f>VLOOKUP(B82,Select!A:H,8,FALSE)</f>
        <v>4</v>
      </c>
      <c r="D82" s="5" t="s">
        <v>21</v>
      </c>
      <c r="E82" s="6">
        <f>VLOOKUP(D82,Select!B:H,7,FALSE)</f>
        <v>2</v>
      </c>
      <c r="F82" s="5" t="s">
        <v>23</v>
      </c>
      <c r="G82" s="6">
        <f>VLOOKUP(F82,Select!C:H,6,FALSE)</f>
        <v>1</v>
      </c>
      <c r="H82" s="5" t="s">
        <v>1460</v>
      </c>
      <c r="I82" s="5">
        <v>1</v>
      </c>
      <c r="J82" s="5"/>
      <c r="K82" s="5"/>
      <c r="L82" s="5"/>
      <c r="M82" s="5" t="b">
        <v>1</v>
      </c>
      <c r="N82" s="5" t="s">
        <v>477</v>
      </c>
      <c r="O82" s="6">
        <f>VLOOKUP(N82,Select!D:H,5,FALSE)</f>
        <v>0</v>
      </c>
    </row>
    <row r="83" spans="1:15">
      <c r="A83" s="7">
        <v>130415</v>
      </c>
      <c r="B83" s="1" t="s">
        <v>26</v>
      </c>
      <c r="C83" s="6">
        <f>VLOOKUP(B83,Select!A:H,8,FALSE)</f>
        <v>4</v>
      </c>
      <c r="D83" s="1" t="s">
        <v>30</v>
      </c>
      <c r="E83" s="6">
        <f>VLOOKUP(D83,Select!B:H,7,FALSE)</f>
        <v>3</v>
      </c>
      <c r="F83" s="1" t="s">
        <v>3</v>
      </c>
      <c r="G83" s="6">
        <f>VLOOKUP(F83,Select!C:H,6,FALSE)</f>
        <v>0</v>
      </c>
      <c r="H83" s="1" t="s">
        <v>1458</v>
      </c>
      <c r="I83" s="1">
        <v>2</v>
      </c>
      <c r="J83" s="1">
        <v>2</v>
      </c>
      <c r="K83" s="1">
        <v>2</v>
      </c>
      <c r="L83" s="1"/>
      <c r="M83" s="1" t="b">
        <v>1</v>
      </c>
      <c r="N83" s="1" t="s">
        <v>477</v>
      </c>
      <c r="O83" s="6">
        <f>VLOOKUP(N83,Select!D:H,5,FALSE)</f>
        <v>0</v>
      </c>
    </row>
    <row r="84" spans="1:15">
      <c r="A84" s="4">
        <v>130500</v>
      </c>
      <c r="B84" s="5" t="s">
        <v>534</v>
      </c>
      <c r="C84" s="6">
        <f>VLOOKUP(B84,Select!A:H,8,FALSE)</f>
        <v>8</v>
      </c>
      <c r="D84" s="5" t="s">
        <v>10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5" t="s">
        <v>1461</v>
      </c>
      <c r="I84" s="5">
        <v>2</v>
      </c>
      <c r="J84" s="5">
        <v>3</v>
      </c>
      <c r="K84" s="5">
        <v>1</v>
      </c>
      <c r="L84" s="5"/>
      <c r="M84" s="5" t="b">
        <v>0</v>
      </c>
      <c r="N84" s="5" t="s">
        <v>477</v>
      </c>
      <c r="O84" s="6">
        <f>VLOOKUP(N84,Select!D:H,5,FALSE)</f>
        <v>0</v>
      </c>
    </row>
    <row r="85" spans="1:15">
      <c r="A85" s="7">
        <v>130501</v>
      </c>
      <c r="B85" s="1" t="s">
        <v>534</v>
      </c>
      <c r="C85" s="6">
        <f>VLOOKUP(B85,Select!A:H,8,FALSE)</f>
        <v>8</v>
      </c>
      <c r="D85" s="1" t="s">
        <v>10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1" t="s">
        <v>1462</v>
      </c>
      <c r="I85" s="1">
        <v>3</v>
      </c>
      <c r="J85" s="1">
        <v>2</v>
      </c>
      <c r="K85" s="1">
        <v>2</v>
      </c>
      <c r="L85" s="1"/>
      <c r="M85" s="1" t="b">
        <v>0</v>
      </c>
      <c r="N85" s="1" t="s">
        <v>477</v>
      </c>
      <c r="O85" s="6">
        <f>VLOOKUP(N85,Select!D:H,5,FALSE)</f>
        <v>0</v>
      </c>
    </row>
    <row r="86" spans="1:15">
      <c r="A86" s="4">
        <v>130502</v>
      </c>
      <c r="B86" s="5" t="s">
        <v>534</v>
      </c>
      <c r="C86" s="6">
        <f>VLOOKUP(B86,Select!A:H,8,FALSE)</f>
        <v>8</v>
      </c>
      <c r="D86" s="5" t="s">
        <v>10</v>
      </c>
      <c r="E86" s="6">
        <f>VLOOKUP(D86,Select!B:H,7,FALSE)</f>
        <v>0</v>
      </c>
      <c r="F86" s="5" t="s">
        <v>3</v>
      </c>
      <c r="G86" s="6">
        <f>VLOOKUP(F86,Select!C:H,6,FALSE)</f>
        <v>0</v>
      </c>
      <c r="H86" s="5" t="s">
        <v>1463</v>
      </c>
      <c r="I86" s="5">
        <v>4</v>
      </c>
      <c r="J86" s="5">
        <v>3</v>
      </c>
      <c r="K86" s="5">
        <v>3</v>
      </c>
      <c r="L86" s="5"/>
      <c r="M86" s="5" t="b">
        <v>0</v>
      </c>
      <c r="N86" s="5" t="s">
        <v>477</v>
      </c>
      <c r="O86" s="6">
        <f>VLOOKUP(N86,Select!D:H,5,FALSE)</f>
        <v>0</v>
      </c>
    </row>
    <row r="87" spans="1:15">
      <c r="A87" s="7">
        <v>130503</v>
      </c>
      <c r="B87" s="1" t="s">
        <v>534</v>
      </c>
      <c r="C87" s="6">
        <f>VLOOKUP(B87,Select!A:H,8,FALSE)</f>
        <v>8</v>
      </c>
      <c r="D87" s="1" t="s">
        <v>10</v>
      </c>
      <c r="E87" s="6">
        <f>VLOOKUP(D87,Select!B:H,7,FALSE)</f>
        <v>0</v>
      </c>
      <c r="F87" s="1" t="s">
        <v>23</v>
      </c>
      <c r="G87" s="6">
        <f>VLOOKUP(F87,Select!C:H,6,FALSE)</f>
        <v>1</v>
      </c>
      <c r="H87" s="1" t="s">
        <v>1464</v>
      </c>
      <c r="I87" s="1">
        <v>5</v>
      </c>
      <c r="J87" s="1"/>
      <c r="K87" s="1"/>
      <c r="L87" s="1"/>
      <c r="M87" s="1" t="b">
        <v>0</v>
      </c>
      <c r="N87" s="1" t="s">
        <v>477</v>
      </c>
      <c r="O87" s="6">
        <f>VLOOKUP(N87,Select!D:H,5,FALSE)</f>
        <v>0</v>
      </c>
    </row>
    <row r="88" spans="1:15">
      <c r="A88" s="4">
        <v>130504</v>
      </c>
      <c r="B88" s="5" t="s">
        <v>534</v>
      </c>
      <c r="C88" s="6">
        <f>VLOOKUP(B88,Select!A:H,8,FALSE)</f>
        <v>8</v>
      </c>
      <c r="D88" s="5" t="s">
        <v>36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5" t="s">
        <v>1466</v>
      </c>
      <c r="I88" s="5">
        <v>3</v>
      </c>
      <c r="J88" s="5">
        <v>0</v>
      </c>
      <c r="K88" s="5">
        <v>1</v>
      </c>
      <c r="L88" s="5"/>
      <c r="M88" s="5" t="b">
        <v>0</v>
      </c>
      <c r="N88" s="5" t="s">
        <v>477</v>
      </c>
      <c r="O88" s="6">
        <f>VLOOKUP(N88,Select!D:H,5,FALSE)</f>
        <v>0</v>
      </c>
    </row>
    <row r="89" spans="1:15">
      <c r="A89" s="7">
        <v>130505</v>
      </c>
      <c r="B89" s="1" t="s">
        <v>534</v>
      </c>
      <c r="C89" s="6">
        <f>VLOOKUP(B89,Select!A:H,8,FALSE)</f>
        <v>8</v>
      </c>
      <c r="D89" s="1" t="s">
        <v>36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1" t="s">
        <v>1467</v>
      </c>
      <c r="I89" s="1">
        <v>6</v>
      </c>
      <c r="J89" s="1">
        <v>4</v>
      </c>
      <c r="K89" s="1">
        <v>7</v>
      </c>
      <c r="L89" s="1"/>
      <c r="M89" s="1" t="b">
        <v>0</v>
      </c>
      <c r="N89" s="1" t="s">
        <v>477</v>
      </c>
      <c r="O89" s="6">
        <f>VLOOKUP(N89,Select!D:H,5,FALSE)</f>
        <v>0</v>
      </c>
    </row>
    <row r="90" spans="1:15">
      <c r="A90" s="4">
        <v>130506</v>
      </c>
      <c r="B90" s="5" t="s">
        <v>534</v>
      </c>
      <c r="C90" s="6">
        <f>VLOOKUP(B90,Select!A:H,8,FALSE)</f>
        <v>8</v>
      </c>
      <c r="D90" s="5" t="s">
        <v>36</v>
      </c>
      <c r="E90" s="6">
        <f>VLOOKUP(D90,Select!B:H,7,FALSE)</f>
        <v>1</v>
      </c>
      <c r="F90" s="5" t="s">
        <v>23</v>
      </c>
      <c r="G90" s="6">
        <f>VLOOKUP(F90,Select!C:H,6,FALSE)</f>
        <v>1</v>
      </c>
      <c r="H90" s="5" t="s">
        <v>1465</v>
      </c>
      <c r="I90" s="5">
        <v>1</v>
      </c>
      <c r="J90" s="5"/>
      <c r="K90" s="5"/>
      <c r="L90" s="5"/>
      <c r="M90" s="5" t="b">
        <v>0</v>
      </c>
      <c r="N90" s="5" t="s">
        <v>477</v>
      </c>
      <c r="O90" s="6">
        <f>VLOOKUP(N90,Select!D:H,5,FALSE)</f>
        <v>0</v>
      </c>
    </row>
    <row r="91" spans="1:15">
      <c r="A91" s="7">
        <v>130507</v>
      </c>
      <c r="B91" s="1" t="s">
        <v>534</v>
      </c>
      <c r="C91" s="6">
        <f>VLOOKUP(B91,Select!A:H,8,FALSE)</f>
        <v>8</v>
      </c>
      <c r="D91" s="1" t="s">
        <v>21</v>
      </c>
      <c r="E91" s="6">
        <f>VLOOKUP(D91,Select!B:H,7,FALSE)</f>
        <v>2</v>
      </c>
      <c r="F91" s="1" t="s">
        <v>3</v>
      </c>
      <c r="G91" s="6">
        <f>VLOOKUP(F91,Select!C:H,6,FALSE)</f>
        <v>0</v>
      </c>
      <c r="H91" s="1" t="s">
        <v>1468</v>
      </c>
      <c r="I91" s="1">
        <v>2</v>
      </c>
      <c r="J91" s="1">
        <v>2</v>
      </c>
      <c r="K91" s="1">
        <v>2</v>
      </c>
      <c r="L91" s="1"/>
      <c r="M91" s="1" t="b">
        <v>0</v>
      </c>
      <c r="N91" s="1" t="s">
        <v>477</v>
      </c>
      <c r="O91" s="6">
        <f>VLOOKUP(N91,Select!D:H,5,FALSE)</f>
        <v>0</v>
      </c>
    </row>
    <row r="92" spans="1:15">
      <c r="A92" s="4">
        <v>130508</v>
      </c>
      <c r="B92" s="5" t="s">
        <v>534</v>
      </c>
      <c r="C92" s="6">
        <f>VLOOKUP(B92,Select!A:H,8,FALSE)</f>
        <v>8</v>
      </c>
      <c r="D92" s="5" t="s">
        <v>21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5" t="s">
        <v>1469</v>
      </c>
      <c r="I92" s="5">
        <v>2</v>
      </c>
      <c r="J92" s="5">
        <v>2</v>
      </c>
      <c r="K92" s="5">
        <v>2</v>
      </c>
      <c r="L92" s="5"/>
      <c r="M92" s="5" t="b">
        <v>0</v>
      </c>
      <c r="N92" s="5" t="s">
        <v>477</v>
      </c>
      <c r="O92" s="6">
        <f>VLOOKUP(N92,Select!D:H,5,FALSE)</f>
        <v>0</v>
      </c>
    </row>
    <row r="93" spans="1:15">
      <c r="A93" s="7">
        <v>130509</v>
      </c>
      <c r="B93" s="1" t="s">
        <v>534</v>
      </c>
      <c r="C93" s="6">
        <f>VLOOKUP(B93,Select!A:H,8,FALSE)</f>
        <v>8</v>
      </c>
      <c r="D93" s="1" t="s">
        <v>21</v>
      </c>
      <c r="E93" s="6">
        <f>VLOOKUP(D93,Select!B:H,7,FALSE)</f>
        <v>2</v>
      </c>
      <c r="F93" s="1" t="s">
        <v>23</v>
      </c>
      <c r="G93" s="6">
        <f>VLOOKUP(F93,Select!C:H,6,FALSE)</f>
        <v>1</v>
      </c>
      <c r="H93" s="1" t="s">
        <v>1470</v>
      </c>
      <c r="I93" s="1">
        <v>3</v>
      </c>
      <c r="J93" s="1"/>
      <c r="K93" s="1"/>
      <c r="L93" s="1"/>
      <c r="M93" s="1" t="b">
        <v>0</v>
      </c>
      <c r="N93" s="1" t="s">
        <v>477</v>
      </c>
      <c r="O93" s="6">
        <f>VLOOKUP(N93,Select!D:H,5,FALSE)</f>
        <v>0</v>
      </c>
    </row>
    <row r="94" spans="1:15">
      <c r="A94" s="4">
        <v>130510</v>
      </c>
      <c r="B94" s="5" t="s">
        <v>534</v>
      </c>
      <c r="C94" s="6">
        <f>VLOOKUP(B94,Select!A:H,8,FALSE)</f>
        <v>8</v>
      </c>
      <c r="D94" s="5" t="s">
        <v>30</v>
      </c>
      <c r="E94" s="6">
        <f>VLOOKUP(D94,Select!B:H,7,FALSE)</f>
        <v>3</v>
      </c>
      <c r="F94" s="5" t="s">
        <v>3</v>
      </c>
      <c r="G94" s="6">
        <f>VLOOKUP(F94,Select!C:H,6,FALSE)</f>
        <v>0</v>
      </c>
      <c r="H94" s="5" t="s">
        <v>1471</v>
      </c>
      <c r="I94" s="5">
        <v>2</v>
      </c>
      <c r="J94" s="5">
        <v>2</v>
      </c>
      <c r="K94" s="5">
        <v>2</v>
      </c>
      <c r="L94" s="5"/>
      <c r="M94" s="5" t="b">
        <v>0</v>
      </c>
      <c r="N94" s="5" t="s">
        <v>477</v>
      </c>
      <c r="O94" s="6">
        <f>VLOOKUP(N94,Select!D:H,5,FALSE)</f>
        <v>0</v>
      </c>
    </row>
    <row r="95" spans="1:15">
      <c r="A95" s="7">
        <v>130511</v>
      </c>
      <c r="B95" s="1" t="s">
        <v>534</v>
      </c>
      <c r="C95" s="6">
        <f>VLOOKUP(B95,Select!A:H,8,FALSE)</f>
        <v>8</v>
      </c>
      <c r="D95" s="1" t="s">
        <v>30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1" t="s">
        <v>1472</v>
      </c>
      <c r="I95" s="1">
        <v>2</v>
      </c>
      <c r="J95" s="1">
        <v>2</v>
      </c>
      <c r="K95" s="1">
        <v>2</v>
      </c>
      <c r="L95" s="1"/>
      <c r="M95" s="1" t="b">
        <v>0</v>
      </c>
      <c r="N95" s="1" t="s">
        <v>477</v>
      </c>
      <c r="O95" s="6">
        <f>VLOOKUP(N95,Select!D:H,5,FALSE)</f>
        <v>0</v>
      </c>
    </row>
    <row r="96" spans="1:15">
      <c r="A96" s="4">
        <v>130512</v>
      </c>
      <c r="B96" s="5" t="s">
        <v>534</v>
      </c>
      <c r="C96" s="6">
        <f>VLOOKUP(B96,Select!A:H,8,FALSE)</f>
        <v>8</v>
      </c>
      <c r="D96" s="5" t="s">
        <v>30</v>
      </c>
      <c r="E96" s="6">
        <f>VLOOKUP(D96,Select!B:H,7,FALSE)</f>
        <v>3</v>
      </c>
      <c r="F96" s="5" t="s">
        <v>3</v>
      </c>
      <c r="G96" s="6">
        <f>VLOOKUP(F96,Select!C:H,6,FALSE)</f>
        <v>0</v>
      </c>
      <c r="H96" s="5" t="s">
        <v>1473</v>
      </c>
      <c r="I96" s="5">
        <v>6</v>
      </c>
      <c r="J96" s="5">
        <v>4</v>
      </c>
      <c r="K96" s="5">
        <v>4</v>
      </c>
      <c r="L96" s="5"/>
      <c r="M96" s="5" t="b">
        <v>0</v>
      </c>
      <c r="N96" s="5" t="s">
        <v>477</v>
      </c>
      <c r="O96" s="6">
        <f>VLOOKUP(N96,Select!D:H,5,FALSE)</f>
        <v>0</v>
      </c>
    </row>
    <row r="97" spans="1:15">
      <c r="A97" s="7">
        <v>130513</v>
      </c>
      <c r="B97" s="1" t="s">
        <v>534</v>
      </c>
      <c r="C97" s="6">
        <f>VLOOKUP(B97,Select!A:H,8,FALSE)</f>
        <v>8</v>
      </c>
      <c r="D97" s="1" t="s">
        <v>21</v>
      </c>
      <c r="E97" s="6">
        <f>VLOOKUP(D97,Select!B:H,7,FALSE)</f>
        <v>2</v>
      </c>
      <c r="F97" s="1" t="s">
        <v>23</v>
      </c>
      <c r="G97" s="6">
        <f>VLOOKUP(F97,Select!C:H,6,FALSE)</f>
        <v>1</v>
      </c>
      <c r="H97" s="1" t="s">
        <v>1475</v>
      </c>
      <c r="I97" s="1">
        <v>7</v>
      </c>
      <c r="J97" s="1"/>
      <c r="K97" s="1"/>
      <c r="L97" s="1"/>
      <c r="M97" s="1" t="b">
        <v>0</v>
      </c>
      <c r="N97" s="1" t="s">
        <v>477</v>
      </c>
      <c r="O97" s="6">
        <f>VLOOKUP(N97,Select!D:H,5,FALSE)</f>
        <v>0</v>
      </c>
    </row>
    <row r="98" spans="1:15">
      <c r="A98" s="4">
        <v>130514</v>
      </c>
      <c r="B98" s="5" t="s">
        <v>534</v>
      </c>
      <c r="C98" s="6">
        <f>VLOOKUP(B98,Select!A:H,8,FALSE)</f>
        <v>8</v>
      </c>
      <c r="D98" s="5" t="s">
        <v>30</v>
      </c>
      <c r="E98" s="6">
        <f>VLOOKUP(D98,Select!B:H,7,FALSE)</f>
        <v>3</v>
      </c>
      <c r="F98" s="5" t="s">
        <v>3</v>
      </c>
      <c r="G98" s="6">
        <f>VLOOKUP(F98,Select!C:H,6,FALSE)</f>
        <v>0</v>
      </c>
      <c r="H98" s="5" t="s">
        <v>1474</v>
      </c>
      <c r="I98" s="5">
        <v>7</v>
      </c>
      <c r="J98" s="5">
        <v>1</v>
      </c>
      <c r="K98" s="5">
        <v>1</v>
      </c>
      <c r="L98" s="5"/>
      <c r="M98" s="5" t="b">
        <v>0</v>
      </c>
      <c r="N98" s="5" t="s">
        <v>477</v>
      </c>
      <c r="O98" s="6">
        <f>VLOOKUP(N98,Select!D:H,5,FALSE)</f>
        <v>0</v>
      </c>
    </row>
    <row r="99" spans="1:15">
      <c r="A99" s="7">
        <v>130600</v>
      </c>
      <c r="B99" s="1" t="s">
        <v>532</v>
      </c>
      <c r="C99" s="6">
        <f>VLOOKUP(B99,Select!A:H,8,FALSE)</f>
        <v>9</v>
      </c>
      <c r="D99" s="1" t="s">
        <v>10</v>
      </c>
      <c r="E99" s="6">
        <f>VLOOKUP(D99,Select!B:H,7,FALSE)</f>
        <v>0</v>
      </c>
      <c r="F99" s="1" t="s">
        <v>3</v>
      </c>
      <c r="G99" s="6">
        <f>VLOOKUP(F99,Select!C:H,6,FALSE)</f>
        <v>0</v>
      </c>
      <c r="H99" s="1" t="s">
        <v>1476</v>
      </c>
      <c r="I99" s="1">
        <v>2</v>
      </c>
      <c r="J99" s="1">
        <v>1</v>
      </c>
      <c r="K99" s="1">
        <v>4</v>
      </c>
      <c r="L99" s="1"/>
      <c r="M99" s="1" t="b">
        <v>0</v>
      </c>
      <c r="N99" s="1" t="s">
        <v>477</v>
      </c>
      <c r="O99" s="6">
        <f>VLOOKUP(N99,Select!D:H,5,FALSE)</f>
        <v>0</v>
      </c>
    </row>
    <row r="100" spans="1:15">
      <c r="A100" s="4">
        <v>130601</v>
      </c>
      <c r="B100" s="5" t="s">
        <v>532</v>
      </c>
      <c r="C100" s="6">
        <f>VLOOKUP(B100,Select!A:H,8,FALSE)</f>
        <v>9</v>
      </c>
      <c r="D100" s="5" t="s">
        <v>10</v>
      </c>
      <c r="E100" s="6">
        <f>VLOOKUP(D100,Select!B:H,7,FALSE)</f>
        <v>0</v>
      </c>
      <c r="F100" s="5" t="s">
        <v>3</v>
      </c>
      <c r="G100" s="6">
        <f>VLOOKUP(F100,Select!C:H,6,FALSE)</f>
        <v>0</v>
      </c>
      <c r="H100" s="5" t="s">
        <v>1477</v>
      </c>
      <c r="I100" s="5">
        <v>2</v>
      </c>
      <c r="J100" s="5">
        <v>1</v>
      </c>
      <c r="K100" s="5">
        <v>2</v>
      </c>
      <c r="L100" s="5"/>
      <c r="M100" s="5" t="b">
        <v>0</v>
      </c>
      <c r="N100" s="5" t="s">
        <v>477</v>
      </c>
      <c r="O100" s="6">
        <f>VLOOKUP(N100,Select!D:H,5,FALSE)</f>
        <v>0</v>
      </c>
    </row>
    <row r="101" spans="1:15">
      <c r="A101" s="7">
        <v>130602</v>
      </c>
      <c r="B101" s="1" t="s">
        <v>532</v>
      </c>
      <c r="C101" s="6">
        <f>VLOOKUP(B101,Select!A:H,8,FALSE)</f>
        <v>9</v>
      </c>
      <c r="D101" s="1" t="s">
        <v>10</v>
      </c>
      <c r="E101" s="6">
        <f>VLOOKUP(D101,Select!B:H,7,FALSE)</f>
        <v>0</v>
      </c>
      <c r="F101" s="1" t="s">
        <v>3</v>
      </c>
      <c r="G101" s="6">
        <f>VLOOKUP(F101,Select!C:H,6,FALSE)</f>
        <v>0</v>
      </c>
      <c r="H101" s="1" t="s">
        <v>1478</v>
      </c>
      <c r="I101" s="1">
        <v>6</v>
      </c>
      <c r="J101" s="1">
        <v>4</v>
      </c>
      <c r="K101" s="1">
        <v>6</v>
      </c>
      <c r="L101" s="1"/>
      <c r="M101" s="1" t="b">
        <v>0</v>
      </c>
      <c r="N101" s="1" t="s">
        <v>477</v>
      </c>
      <c r="O101" s="6">
        <f>VLOOKUP(N101,Select!D:H,5,FALSE)</f>
        <v>0</v>
      </c>
    </row>
    <row r="102" spans="1:15">
      <c r="A102" s="4">
        <v>130603</v>
      </c>
      <c r="B102" s="5" t="s">
        <v>532</v>
      </c>
      <c r="C102" s="6">
        <f>VLOOKUP(B102,Select!A:H,8,FALSE)</f>
        <v>9</v>
      </c>
      <c r="D102" s="5" t="s">
        <v>10</v>
      </c>
      <c r="E102" s="6">
        <f>VLOOKUP(D102,Select!B:H,7,FALSE)</f>
        <v>0</v>
      </c>
      <c r="F102" s="5" t="s">
        <v>23</v>
      </c>
      <c r="G102" s="6">
        <f>VLOOKUP(F102,Select!C:H,6,FALSE)</f>
        <v>1</v>
      </c>
      <c r="H102" s="5" t="s">
        <v>1479</v>
      </c>
      <c r="I102" s="5">
        <v>3</v>
      </c>
      <c r="J102" s="5"/>
      <c r="K102" s="5"/>
      <c r="L102" s="5"/>
      <c r="M102" s="5" t="b">
        <v>0</v>
      </c>
      <c r="N102" s="5" t="s">
        <v>477</v>
      </c>
      <c r="O102" s="6">
        <f>VLOOKUP(N102,Select!D:H,5,FALSE)</f>
        <v>0</v>
      </c>
    </row>
    <row r="103" spans="1:15">
      <c r="A103" s="7">
        <v>-1</v>
      </c>
      <c r="B103" s="1" t="s">
        <v>532</v>
      </c>
      <c r="C103" s="6">
        <f>VLOOKUP(B103,Select!A:H,8,FALSE)</f>
        <v>9</v>
      </c>
      <c r="D103" s="1" t="s">
        <v>36</v>
      </c>
      <c r="E103" s="6">
        <f>VLOOKUP(D103,Select!B:H,7,FALSE)</f>
        <v>1</v>
      </c>
      <c r="F103" s="1" t="s">
        <v>3</v>
      </c>
      <c r="G103" s="6">
        <f>VLOOKUP(F103,Select!C:H,6,FALSE)</f>
        <v>0</v>
      </c>
      <c r="H103" s="1"/>
      <c r="I103" s="1"/>
      <c r="J103" s="1"/>
      <c r="K103" s="1"/>
      <c r="L103" s="1"/>
      <c r="M103" s="1" t="b">
        <v>0</v>
      </c>
      <c r="N103" s="1" t="s">
        <v>477</v>
      </c>
      <c r="O103" s="6">
        <f>VLOOKUP(N103,Select!D:H,5,FALSE)</f>
        <v>0</v>
      </c>
    </row>
    <row r="104" spans="1:15">
      <c r="A104" s="4">
        <v>-1</v>
      </c>
      <c r="B104" s="5" t="s">
        <v>532</v>
      </c>
      <c r="C104" s="6">
        <f>VLOOKUP(B104,Select!A:H,8,FALSE)</f>
        <v>9</v>
      </c>
      <c r="D104" s="5" t="s">
        <v>36</v>
      </c>
      <c r="E104" s="6">
        <f>VLOOKUP(D104,Select!B:H,7,FALSE)</f>
        <v>1</v>
      </c>
      <c r="F104" s="5" t="s">
        <v>3</v>
      </c>
      <c r="G104" s="6">
        <f>VLOOKUP(F104,Select!C:H,6,FALSE)</f>
        <v>0</v>
      </c>
      <c r="H104" s="5"/>
      <c r="I104" s="5"/>
      <c r="J104" s="5"/>
      <c r="K104" s="5"/>
      <c r="L104" s="5"/>
      <c r="M104" s="5" t="b">
        <v>0</v>
      </c>
      <c r="N104" s="5" t="s">
        <v>477</v>
      </c>
      <c r="O104" s="6">
        <f>VLOOKUP(N104,Select!D:H,5,FALSE)</f>
        <v>0</v>
      </c>
    </row>
    <row r="105" spans="1:15">
      <c r="A105" s="7">
        <v>-1</v>
      </c>
      <c r="B105" s="1" t="s">
        <v>532</v>
      </c>
      <c r="C105" s="6">
        <f>VLOOKUP(B105,Select!A:H,8,FALSE)</f>
        <v>9</v>
      </c>
      <c r="D105" s="1" t="s">
        <v>36</v>
      </c>
      <c r="E105" s="6">
        <f>VLOOKUP(D105,Select!B:H,7,FALSE)</f>
        <v>1</v>
      </c>
      <c r="F105" s="1" t="s">
        <v>23</v>
      </c>
      <c r="G105" s="6">
        <f>VLOOKUP(F105,Select!C:H,6,FALSE)</f>
        <v>1</v>
      </c>
      <c r="H105" s="1"/>
      <c r="I105" s="1"/>
      <c r="J105" s="1"/>
      <c r="K105" s="1"/>
      <c r="L105" s="1"/>
      <c r="M105" s="1" t="b">
        <v>0</v>
      </c>
      <c r="N105" s="1" t="s">
        <v>477</v>
      </c>
      <c r="O105" s="6">
        <f>VLOOKUP(N105,Select!D:H,5,FALSE)</f>
        <v>0</v>
      </c>
    </row>
    <row r="106" spans="1:15">
      <c r="A106" s="4">
        <v>-1</v>
      </c>
      <c r="B106" s="5" t="s">
        <v>532</v>
      </c>
      <c r="C106" s="6">
        <f>VLOOKUP(B106,Select!A:H,8,FALSE)</f>
        <v>9</v>
      </c>
      <c r="D106" s="5" t="s">
        <v>30</v>
      </c>
      <c r="E106" s="6">
        <f>VLOOKUP(D106,Select!B:H,7,FALSE)</f>
        <v>3</v>
      </c>
      <c r="F106" s="5" t="s">
        <v>3</v>
      </c>
      <c r="G106" s="6">
        <f>VLOOKUP(F106,Select!C:H,6,FALSE)</f>
        <v>0</v>
      </c>
      <c r="H106" s="5"/>
      <c r="I106" s="5"/>
      <c r="J106" s="5"/>
      <c r="K106" s="5"/>
      <c r="L106" s="5"/>
      <c r="M106" s="5" t="b">
        <v>0</v>
      </c>
      <c r="N106" s="5" t="s">
        <v>477</v>
      </c>
      <c r="O106" s="6">
        <f>VLOOKUP(N106,Select!D:H,5,FALSE)</f>
        <v>0</v>
      </c>
    </row>
    <row r="107" spans="1:15">
      <c r="A107" s="7">
        <v>-1</v>
      </c>
      <c r="B107" s="1" t="s">
        <v>532</v>
      </c>
      <c r="C107" s="6">
        <f>VLOOKUP(B107,Select!A:H,8,FALSE)</f>
        <v>9</v>
      </c>
      <c r="D107" s="1" t="s">
        <v>30</v>
      </c>
      <c r="E107" s="6">
        <f>VLOOKUP(D107,Select!B:H,7,FALSE)</f>
        <v>3</v>
      </c>
      <c r="F107" s="1" t="s">
        <v>3</v>
      </c>
      <c r="G107" s="6">
        <f>VLOOKUP(F107,Select!C:H,6,FALSE)</f>
        <v>0</v>
      </c>
      <c r="H107" s="1"/>
      <c r="I107" s="1"/>
      <c r="J107" s="1"/>
      <c r="K107" s="1"/>
      <c r="L107" s="1"/>
      <c r="M107" s="1" t="b">
        <v>0</v>
      </c>
      <c r="N107" s="1" t="s">
        <v>477</v>
      </c>
      <c r="O107" s="6">
        <f>VLOOKUP(N107,Select!D:H,5,FALSE)</f>
        <v>0</v>
      </c>
    </row>
    <row r="108" spans="1:15">
      <c r="A108" s="4">
        <v>-1</v>
      </c>
      <c r="B108" s="5" t="s">
        <v>532</v>
      </c>
      <c r="C108" s="6">
        <f>VLOOKUP(B108,Select!A:H,8,FALSE)</f>
        <v>9</v>
      </c>
      <c r="D108" s="5" t="s">
        <v>30</v>
      </c>
      <c r="E108" s="6">
        <f>VLOOKUP(D108,Select!B:H,7,FALSE)</f>
        <v>3</v>
      </c>
      <c r="F108" s="5" t="s">
        <v>3</v>
      </c>
      <c r="G108" s="6">
        <f>VLOOKUP(F108,Select!C:H,6,FALSE)</f>
        <v>0</v>
      </c>
      <c r="H108" s="5"/>
      <c r="I108" s="5"/>
      <c r="J108" s="5"/>
      <c r="K108" s="5"/>
      <c r="L108" s="5"/>
      <c r="M108" s="5" t="b">
        <v>0</v>
      </c>
      <c r="N108" s="5" t="s">
        <v>477</v>
      </c>
      <c r="O108" s="6">
        <f>VLOOKUP(N108,Select!D:H,5,FALSE)</f>
        <v>0</v>
      </c>
    </row>
    <row r="109" spans="1:15">
      <c r="A109" s="7">
        <v>-1</v>
      </c>
      <c r="B109" s="1" t="s">
        <v>532</v>
      </c>
      <c r="C109" s="6">
        <f>VLOOKUP(B109,Select!A:H,8,FALSE)</f>
        <v>9</v>
      </c>
      <c r="D109" s="1" t="s">
        <v>30</v>
      </c>
      <c r="E109" s="6">
        <f>VLOOKUP(D109,Select!B:H,7,FALSE)</f>
        <v>3</v>
      </c>
      <c r="F109" s="1" t="s">
        <v>3</v>
      </c>
      <c r="G109" s="6">
        <f>VLOOKUP(F109,Select!C:H,6,FALSE)</f>
        <v>0</v>
      </c>
      <c r="H109" s="1"/>
      <c r="I109" s="1"/>
      <c r="J109" s="1"/>
      <c r="K109" s="1"/>
      <c r="L109" s="1"/>
      <c r="M109" s="1" t="b">
        <v>0</v>
      </c>
      <c r="N109" s="1" t="s">
        <v>477</v>
      </c>
      <c r="O109" s="6">
        <f>VLOOKUP(N109,Select!D:H,5,FALSE)</f>
        <v>0</v>
      </c>
    </row>
    <row r="110" spans="1:15">
      <c r="A110" s="4">
        <v>-1</v>
      </c>
      <c r="B110" s="5" t="s">
        <v>532</v>
      </c>
      <c r="C110" s="6">
        <f>VLOOKUP(B110,Select!A:H,8,FALSE)</f>
        <v>9</v>
      </c>
      <c r="D110" s="5" t="s">
        <v>30</v>
      </c>
      <c r="E110" s="6">
        <f>VLOOKUP(D110,Select!B:H,7,FALSE)</f>
        <v>3</v>
      </c>
      <c r="F110" s="5" t="s">
        <v>3</v>
      </c>
      <c r="G110" s="6">
        <f>VLOOKUP(F110,Select!C:H,6,FALSE)</f>
        <v>0</v>
      </c>
      <c r="H110" s="5"/>
      <c r="I110" s="5"/>
      <c r="J110" s="5"/>
      <c r="K110" s="5"/>
      <c r="L110" s="5"/>
      <c r="M110" s="5" t="b">
        <v>0</v>
      </c>
      <c r="N110" s="5" t="s">
        <v>477</v>
      </c>
      <c r="O110" s="6">
        <f>VLOOKUP(N110,Select!D:H,5,FALSE)</f>
        <v>0</v>
      </c>
    </row>
    <row r="111" spans="1:15">
      <c r="A111" s="7">
        <v>-1</v>
      </c>
      <c r="B111" s="1" t="s">
        <v>532</v>
      </c>
      <c r="C111" s="6">
        <f>VLOOKUP(B111,Select!A:H,8,FALSE)</f>
        <v>9</v>
      </c>
      <c r="D111" s="1" t="s">
        <v>30</v>
      </c>
      <c r="E111" s="6">
        <f>VLOOKUP(D111,Select!B:H,7,FALSE)</f>
        <v>3</v>
      </c>
      <c r="F111" s="1" t="s">
        <v>3</v>
      </c>
      <c r="G111" s="6">
        <f>VLOOKUP(F111,Select!C:H,6,FALSE)</f>
        <v>0</v>
      </c>
      <c r="H111" s="1"/>
      <c r="I111" s="1"/>
      <c r="J111" s="1"/>
      <c r="K111" s="1"/>
      <c r="L111" s="1"/>
      <c r="M111" s="1" t="b">
        <v>0</v>
      </c>
      <c r="N111" s="1" t="s">
        <v>477</v>
      </c>
      <c r="O111" s="6">
        <f>VLOOKUP(N111,Select!D:H,5,FALSE)</f>
        <v>0</v>
      </c>
    </row>
    <row r="112" spans="1:15">
      <c r="A112" s="4">
        <v>-1</v>
      </c>
      <c r="B112" s="5" t="s">
        <v>532</v>
      </c>
      <c r="C112" s="6">
        <f>VLOOKUP(B112,Select!A:H,8,FALSE)</f>
        <v>9</v>
      </c>
      <c r="D112" s="5" t="s">
        <v>30</v>
      </c>
      <c r="E112" s="6">
        <f>VLOOKUP(D112,Select!B:H,7,FALSE)</f>
        <v>3</v>
      </c>
      <c r="F112" s="5" t="s">
        <v>3</v>
      </c>
      <c r="G112" s="6">
        <f>VLOOKUP(F112,Select!C:H,6,FALSE)</f>
        <v>0</v>
      </c>
      <c r="H112" s="5"/>
      <c r="I112" s="5"/>
      <c r="J112" s="5"/>
      <c r="K112" s="5"/>
      <c r="L112" s="5"/>
      <c r="M112" s="5" t="b">
        <v>0</v>
      </c>
      <c r="N112" s="5" t="s">
        <v>477</v>
      </c>
      <c r="O112" s="6">
        <f>VLOOKUP(N112,Select!D:H,5,FALSE)</f>
        <v>0</v>
      </c>
    </row>
    <row r="113" spans="1:15">
      <c r="A113" s="7">
        <v>-1</v>
      </c>
      <c r="B113" s="1" t="s">
        <v>532</v>
      </c>
      <c r="C113" s="6">
        <f>VLOOKUP(B113,Select!A:H,8,FALSE)</f>
        <v>9</v>
      </c>
      <c r="D113" s="1" t="s">
        <v>30</v>
      </c>
      <c r="E113" s="6">
        <f>VLOOKUP(D113,Select!B:H,7,FALSE)</f>
        <v>3</v>
      </c>
      <c r="F113" s="1" t="s">
        <v>3</v>
      </c>
      <c r="G113" s="6">
        <f>VLOOKUP(F113,Select!C:H,6,FALSE)</f>
        <v>0</v>
      </c>
      <c r="H113" s="1"/>
      <c r="I113" s="1"/>
      <c r="J113" s="1"/>
      <c r="K113" s="1"/>
      <c r="L113" s="1"/>
      <c r="M113" s="1" t="b">
        <v>0</v>
      </c>
      <c r="N113" s="1" t="s">
        <v>477</v>
      </c>
      <c r="O113" s="6">
        <f>VLOOKUP(N113,Select!D:H,5,FALSE)</f>
        <v>0</v>
      </c>
    </row>
    <row r="114" spans="1:15">
      <c r="A114" s="4">
        <v>-1</v>
      </c>
      <c r="B114" s="5" t="s">
        <v>1</v>
      </c>
      <c r="C114" s="6">
        <f>VLOOKUP(B114,Select!A:H,8,FALSE)</f>
        <v>0</v>
      </c>
      <c r="D114" s="5" t="s">
        <v>30</v>
      </c>
      <c r="E114" s="6">
        <f>VLOOKUP(D114,Select!B:H,7,FALSE)</f>
        <v>3</v>
      </c>
      <c r="F114" s="5" t="s">
        <v>3</v>
      </c>
      <c r="G114" s="6">
        <f>VLOOKUP(F114,Select!C:H,6,FALSE)</f>
        <v>0</v>
      </c>
      <c r="H114" s="5"/>
      <c r="I114" s="5"/>
      <c r="J114" s="5"/>
      <c r="K114" s="5"/>
      <c r="L114" s="5"/>
      <c r="M114" s="5" t="b">
        <v>0</v>
      </c>
      <c r="N114" s="5" t="s">
        <v>477</v>
      </c>
      <c r="O114" s="6">
        <f>VLOOKUP(N114,Select!D:H,5,FALSE)</f>
        <v>0</v>
      </c>
    </row>
    <row r="115" spans="1:15">
      <c r="A115" s="7">
        <v>-1</v>
      </c>
      <c r="B115" s="1" t="s">
        <v>1</v>
      </c>
      <c r="C115" s="6">
        <f>VLOOKUP(B115,Select!A:H,8,FALSE)</f>
        <v>0</v>
      </c>
      <c r="D115" s="1" t="s">
        <v>30</v>
      </c>
      <c r="E115" s="6">
        <f>VLOOKUP(D115,Select!B:H,7,FALSE)</f>
        <v>3</v>
      </c>
      <c r="F115" s="1" t="s">
        <v>3</v>
      </c>
      <c r="G115" s="6">
        <f>VLOOKUP(F115,Select!C:H,6,FALSE)</f>
        <v>0</v>
      </c>
      <c r="H115" s="1"/>
      <c r="I115" s="1"/>
      <c r="J115" s="1"/>
      <c r="K115" s="1"/>
      <c r="L115" s="1"/>
      <c r="M115" s="1" t="b">
        <v>0</v>
      </c>
      <c r="N115" s="1" t="s">
        <v>477</v>
      </c>
      <c r="O115" s="6">
        <f>VLOOKUP(N115,Select!D:H,5,FALSE)</f>
        <v>0</v>
      </c>
    </row>
    <row r="116" spans="1:15">
      <c r="A116" s="4">
        <v>-1</v>
      </c>
      <c r="B116" s="5" t="s">
        <v>1</v>
      </c>
      <c r="C116" s="6">
        <f>VLOOKUP(B116,Select!A:H,8,FALSE)</f>
        <v>0</v>
      </c>
      <c r="D116" s="5" t="s">
        <v>30</v>
      </c>
      <c r="E116" s="6">
        <f>VLOOKUP(D116,Select!B:H,7,FALSE)</f>
        <v>3</v>
      </c>
      <c r="F116" s="5" t="s">
        <v>3</v>
      </c>
      <c r="G116" s="6">
        <f>VLOOKUP(F116,Select!C:H,6,FALSE)</f>
        <v>0</v>
      </c>
      <c r="H116" s="5"/>
      <c r="I116" s="5"/>
      <c r="J116" s="5"/>
      <c r="K116" s="5"/>
      <c r="L116" s="5"/>
      <c r="M116" s="5" t="b">
        <v>0</v>
      </c>
      <c r="N116" s="5" t="s">
        <v>477</v>
      </c>
      <c r="O116" s="6">
        <f>VLOOKUP(N116,Select!D:H,5,FALSE)</f>
        <v>0</v>
      </c>
    </row>
    <row r="117" spans="1:15">
      <c r="A117" s="7">
        <v>-1</v>
      </c>
      <c r="B117" s="1" t="s">
        <v>1</v>
      </c>
      <c r="C117" s="6">
        <f>VLOOKUP(B117,Select!A:H,8,FALSE)</f>
        <v>0</v>
      </c>
      <c r="D117" s="1" t="s">
        <v>30</v>
      </c>
      <c r="E117" s="6">
        <f>VLOOKUP(D117,Select!B:H,7,FALSE)</f>
        <v>3</v>
      </c>
      <c r="F117" s="1" t="s">
        <v>3</v>
      </c>
      <c r="G117" s="6">
        <f>VLOOKUP(F117,Select!C:H,6,FALSE)</f>
        <v>0</v>
      </c>
      <c r="H117" s="1"/>
      <c r="I117" s="1"/>
      <c r="J117" s="1"/>
      <c r="K117" s="1"/>
      <c r="L117" s="1"/>
      <c r="M117" s="1" t="b">
        <v>0</v>
      </c>
      <c r="N117" s="1" t="s">
        <v>477</v>
      </c>
      <c r="O117" s="6">
        <f>VLOOKUP(N117,Select!D:H,5,FALSE)</f>
        <v>0</v>
      </c>
    </row>
    <row r="118" spans="1:15">
      <c r="A118" s="4">
        <v>-1</v>
      </c>
      <c r="B118" s="5" t="s">
        <v>1</v>
      </c>
      <c r="C118" s="6">
        <f>VLOOKUP(B118,Select!A:H,8,FALSE)</f>
        <v>0</v>
      </c>
      <c r="D118" s="5" t="s">
        <v>30</v>
      </c>
      <c r="E118" s="6">
        <f>VLOOKUP(D118,Select!B:H,7,FALSE)</f>
        <v>3</v>
      </c>
      <c r="F118" s="5" t="s">
        <v>3</v>
      </c>
      <c r="G118" s="6">
        <f>VLOOKUP(F118,Select!C:H,6,FALSE)</f>
        <v>0</v>
      </c>
      <c r="H118" s="5"/>
      <c r="I118" s="5"/>
      <c r="J118" s="5"/>
      <c r="K118" s="5"/>
      <c r="L118" s="5"/>
      <c r="M118" s="5" t="b">
        <v>0</v>
      </c>
      <c r="N118" s="5" t="s">
        <v>477</v>
      </c>
      <c r="O118" s="6">
        <f>VLOOKUP(N118,Select!D:H,5,FALSE)</f>
        <v>0</v>
      </c>
    </row>
    <row r="119" spans="1:15">
      <c r="A119" s="7">
        <v>-1</v>
      </c>
      <c r="B119" s="1" t="s">
        <v>1</v>
      </c>
      <c r="C119" s="6">
        <f>VLOOKUP(B119,Select!A:H,8,FALSE)</f>
        <v>0</v>
      </c>
      <c r="D119" s="1" t="s">
        <v>30</v>
      </c>
      <c r="E119" s="6">
        <f>VLOOKUP(D119,Select!B:H,7,FALSE)</f>
        <v>3</v>
      </c>
      <c r="F119" s="1" t="s">
        <v>3</v>
      </c>
      <c r="G119" s="6">
        <f>VLOOKUP(F119,Select!C:H,6,FALSE)</f>
        <v>0</v>
      </c>
      <c r="H119" s="1"/>
      <c r="I119" s="1"/>
      <c r="J119" s="1"/>
      <c r="K119" s="1"/>
      <c r="L119" s="1"/>
      <c r="M119" s="1" t="b">
        <v>0</v>
      </c>
      <c r="N119" s="1" t="s">
        <v>477</v>
      </c>
      <c r="O119" s="6">
        <f>VLOOKUP(N119,Select!D:H,5,FALSE)</f>
        <v>0</v>
      </c>
    </row>
    <row r="120" spans="1:15">
      <c r="A120" s="4">
        <v>-1</v>
      </c>
      <c r="B120" s="5" t="s">
        <v>1</v>
      </c>
      <c r="C120" s="6">
        <f>VLOOKUP(B120,Select!A:H,8,FALSE)</f>
        <v>0</v>
      </c>
      <c r="D120" s="5" t="s">
        <v>30</v>
      </c>
      <c r="E120" s="6">
        <f>VLOOKUP(D120,Select!B:H,7,FALSE)</f>
        <v>3</v>
      </c>
      <c r="F120" s="5" t="s">
        <v>3</v>
      </c>
      <c r="G120" s="6">
        <f>VLOOKUP(F120,Select!C:H,6,FALSE)</f>
        <v>0</v>
      </c>
      <c r="H120" s="5"/>
      <c r="I120" s="5"/>
      <c r="J120" s="5"/>
      <c r="K120" s="5"/>
      <c r="L120" s="5"/>
      <c r="M120" s="5" t="b">
        <v>0</v>
      </c>
      <c r="N120" s="5" t="s">
        <v>477</v>
      </c>
      <c r="O120" s="6">
        <f>VLOOKUP(N120,Select!D:H,5,FALSE)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4" operator="containsText" id="{7A79EDAE-A39F-48E7-A268-D8B474373C3B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2B20CCA8-D269-4109-8192-A0DCFB29C98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F01B7D9B-A860-4EC6-BBE1-41C495FD32BA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9F1AE9A3-5C2F-4779-8F04-522CEC539DD4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D84F864B-23E3-4B31-B209-262C1EC7C277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A8F5251C-BA16-44DD-8787-C3E857BED7B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2BDA0D8E-7E2F-4BC8-BE6E-38144AD70BE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CC5FDF3E-FBE9-439E-96B4-FF9154D01F2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B1:B120</xm:sqref>
        </x14:conditionalFormatting>
        <x14:conditionalFormatting xmlns:xm="http://schemas.microsoft.com/office/excel/2006/main">
          <x14:cfRule type="containsText" priority="35" operator="containsText" id="{5E16052A-CBBA-4739-98AF-3168569ADBCC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100252DC-6A35-4FAF-BD51-ECEB7243E6A7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B2:B120</xm:sqref>
        </x14:conditionalFormatting>
        <x14:conditionalFormatting xmlns:xm="http://schemas.microsoft.com/office/excel/2006/main">
          <x14:cfRule type="containsText" priority="1" operator="containsText" id="{589484AB-C59F-4172-B4E5-96C99D5BCE45}">
            <xm:f>NOT(ISERROR(SEARCH(Select!$A$10,B13)))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B733EC5-AA82-4A0F-936B-34A52514359A}">
            <xm:f>NOT(ISERROR(SEARCH(Select!$A$9,B13)))</xm:f>
            <xm:f>Select!$A$9</xm:f>
            <x14:dxf>
              <fill>
                <patternFill>
                  <bgColor rgb="FFE6D5F3"/>
                </patternFill>
              </fill>
            </x14:dxf>
          </x14:cfRule>
          <x14:cfRule type="containsText" priority="10" operator="containsText" id="{A574D145-509A-4CCC-BF29-3BB0F292649D}">
            <xm:f>NOT(ISERROR(SEARCH(Select!$A$8,B13)))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9936575-F190-436E-AEC4-CDEB06248DD9}">
            <xm:f>NOT(ISERROR(SEARCH(Select!$A$7,B13)))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932296F8-78C3-4A70-9F61-C75C04DFA9FB}">
            <xm:f>NOT(ISERROR(SEARCH(Select!$A$6,B13)))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798BEB6-B703-463B-B44A-8ED5637F709A}">
            <xm:f>NOT(ISERROR(SEARCH(Select!$A$5,B13)))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81FF888-04FC-4B7C-8100-DDE1F83EE0B1}">
            <xm:f>NOT(ISERROR(SEARCH(Select!$A$4,B13)))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AE476375-1D67-4F86-9B83-2C40CE40A677}">
            <xm:f>NOT(ISERROR(SEARCH(Select!$A$3,B13)))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7E1E099E-6F14-44F3-B6C8-00F990EE938E}">
            <xm:f>NOT(ISERROR(SEARCH(Select!$A$2,B13)))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82267145-CEB7-4514-B814-8F544D394CAA}">
            <xm:f>NOT(ISERROR(SEARCH(Select!$A$1,B13)))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B13:B14</xm:sqref>
        </x14:conditionalFormatting>
        <x14:conditionalFormatting xmlns:xm="http://schemas.microsoft.com/office/excel/2006/main">
          <x14:cfRule type="containsText" priority="40" operator="containsText" id="{9C1AAB1A-E04B-44B0-B924-D04759E5B45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19491A3F-266D-4C57-9241-3BAB24F0B17B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6C5A71B1-8B2F-4C29-BCFE-E59AEC79C09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0DC504FC-D1A2-4660-BF64-3343249A8A22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D1:D120</xm:sqref>
        </x14:conditionalFormatting>
        <x14:conditionalFormatting xmlns:xm="http://schemas.microsoft.com/office/excel/2006/main">
          <x14:cfRule type="containsText" priority="6" operator="containsText" id="{7A144CFB-B2C9-41AA-9F65-62D23EADA4DF}">
            <xm:f>NOT(ISERROR(SEARCH(Select!$B$4,D13)))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284E4FC-B874-4308-91BD-42D34068A44C}">
            <xm:f>NOT(ISERROR(SEARCH(Select!$B$3,D13)))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09C1E215-401D-464C-9546-CF9335AA657D}">
            <xm:f>NOT(ISERROR(SEARCH(Select!$B$2,D13)))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1FD1FD5-27FC-4CD5-A145-83CA40001258}">
            <xm:f>NOT(ISERROR(SEARCH(Select!$B$1,D13)))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D13:D14</xm:sqref>
        </x14:conditionalFormatting>
        <x14:conditionalFormatting xmlns:xm="http://schemas.microsoft.com/office/excel/2006/main">
          <x14:cfRule type="containsText" priority="37" operator="containsText" id="{80561D2F-AFCC-4649-AAD7-760F01C5E56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0228AE66-1879-4AC5-B0C0-596B0CABCDA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9833DACB-A422-4C87-B956-86595AE97A1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F1:F120</xm:sqref>
        </x14:conditionalFormatting>
        <x14:conditionalFormatting xmlns:xm="http://schemas.microsoft.com/office/excel/2006/main">
          <x14:cfRule type="containsText" priority="3" operator="containsText" id="{4161D1E9-570C-45C7-8F31-AEAE0A50FCFC}">
            <xm:f>NOT(ISERROR(SEARCH(Select!$C$3,F13)))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0DAABAC3-BFB3-4755-9E43-802906F521BA}">
            <xm:f>NOT(ISERROR(SEARCH(Select!$C$2,F13)))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8FFAEB3-888C-4ADB-9F90-E99F10AF0350}">
            <xm:f>NOT(ISERROR(SEARCH(Select!$C$1,F13)))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F13:F14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DD217B9-24CA-4DAD-B132-2494A9EA2E84}">
          <x14:formula1>
            <xm:f>Select!$A:$A</xm:f>
          </x14:formula1>
          <xm:sqref>B2:B120</xm:sqref>
        </x14:dataValidation>
        <x14:dataValidation type="list" allowBlank="1" showInputMessage="1" showErrorMessage="1" xr:uid="{94584BB6-F0BB-47D3-AE99-CA5207EAFB27}">
          <x14:formula1>
            <xm:f>Select!$B:$B</xm:f>
          </x14:formula1>
          <xm:sqref>D2:D120</xm:sqref>
        </x14:dataValidation>
        <x14:dataValidation type="list" allowBlank="1" showInputMessage="1" showErrorMessage="1" xr:uid="{7B991B1D-E95C-457E-9CC3-16D89B4BEBF3}">
          <x14:formula1>
            <xm:f>Select!$C:$C</xm:f>
          </x14:formula1>
          <xm:sqref>F2:F120</xm:sqref>
        </x14:dataValidation>
        <x14:dataValidation type="list" allowBlank="1" showInputMessage="1" showErrorMessage="1" xr:uid="{03FCD0FC-0783-4997-9CFD-A1F2C7122839}">
          <x14:formula1>
            <xm:f>Select!$D:$D</xm:f>
          </x14:formula1>
          <xm:sqref>N2:N120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631C-A971-4DDF-8EB1-62FE8456FDB2}">
  <dimension ref="B2:D34"/>
  <sheetViews>
    <sheetView workbookViewId="0">
      <selection activeCell="J32" sqref="J32"/>
    </sheetView>
  </sheetViews>
  <sheetFormatPr defaultRowHeight="18.75"/>
  <cols>
    <col min="2" max="2" width="16.75" customWidth="1"/>
  </cols>
  <sheetData>
    <row r="2" spans="2:4">
      <c r="B2" t="s">
        <v>1434</v>
      </c>
      <c r="D2" t="s">
        <v>1435</v>
      </c>
    </row>
    <row r="3" spans="2:4">
      <c r="B3" s="1" t="s">
        <v>459</v>
      </c>
      <c r="D3" t="s">
        <v>1437</v>
      </c>
    </row>
    <row r="4" spans="2:4">
      <c r="B4" s="1" t="s">
        <v>229</v>
      </c>
      <c r="D4" t="s">
        <v>1438</v>
      </c>
    </row>
    <row r="5" spans="2:4">
      <c r="B5" s="1" t="s">
        <v>230</v>
      </c>
      <c r="D5" t="s">
        <v>1439</v>
      </c>
    </row>
    <row r="6" spans="2:4">
      <c r="B6" s="5" t="s">
        <v>508</v>
      </c>
    </row>
    <row r="7" spans="2:4">
      <c r="B7" s="1" t="s">
        <v>242</v>
      </c>
    </row>
    <row r="8" spans="2:4">
      <c r="B8" s="1" t="s">
        <v>520</v>
      </c>
    </row>
    <row r="9" spans="2:4">
      <c r="B9" s="1" t="s">
        <v>236</v>
      </c>
    </row>
    <row r="10" spans="2:4">
      <c r="B10" s="5" t="s">
        <v>547</v>
      </c>
    </row>
    <row r="11" spans="2:4">
      <c r="B11" s="1" t="s">
        <v>548</v>
      </c>
    </row>
    <row r="12" spans="2:4">
      <c r="B12" s="12" t="s">
        <v>256</v>
      </c>
    </row>
    <row r="13" spans="2:4">
      <c r="B13" s="10" t="s">
        <v>571</v>
      </c>
    </row>
    <row r="14" spans="2:4">
      <c r="B14" s="11" t="s">
        <v>572</v>
      </c>
    </row>
    <row r="15" spans="2:4">
      <c r="B15" s="5" t="s">
        <v>674</v>
      </c>
    </row>
    <row r="16" spans="2:4">
      <c r="B16" s="1" t="s">
        <v>707</v>
      </c>
    </row>
    <row r="17" spans="2:2">
      <c r="B17" s="5" t="s">
        <v>708</v>
      </c>
    </row>
    <row r="18" spans="2:2">
      <c r="B18" s="1" t="s">
        <v>250</v>
      </c>
    </row>
    <row r="19" spans="2:2">
      <c r="B19" s="5" t="s">
        <v>232</v>
      </c>
    </row>
    <row r="20" spans="2:2">
      <c r="B20" s="1" t="s">
        <v>751</v>
      </c>
    </row>
    <row r="21" spans="2:2">
      <c r="B21" s="5" t="s">
        <v>752</v>
      </c>
    </row>
    <row r="22" spans="2:2">
      <c r="B22" s="1" t="s">
        <v>753</v>
      </c>
    </row>
    <row r="23" spans="2:2">
      <c r="B23" s="5" t="s">
        <v>239</v>
      </c>
    </row>
    <row r="24" spans="2:2">
      <c r="B24" s="1" t="s">
        <v>584</v>
      </c>
    </row>
    <row r="25" spans="2:2">
      <c r="B25" s="5" t="s">
        <v>585</v>
      </c>
    </row>
    <row r="26" spans="2:2">
      <c r="B26" s="1" t="s">
        <v>797</v>
      </c>
    </row>
    <row r="27" spans="2:2">
      <c r="B27" s="5" t="s">
        <v>798</v>
      </c>
    </row>
    <row r="28" spans="2:2">
      <c r="B28" s="1" t="s">
        <v>253</v>
      </c>
    </row>
    <row r="29" spans="2:2">
      <c r="B29" s="5" t="s">
        <v>844</v>
      </c>
    </row>
    <row r="30" spans="2:2">
      <c r="B30" s="1" t="s">
        <v>237</v>
      </c>
    </row>
    <row r="31" spans="2:2">
      <c r="B31" s="5" t="s">
        <v>893</v>
      </c>
    </row>
    <row r="32" spans="2:2">
      <c r="B32" s="1" t="s">
        <v>904</v>
      </c>
    </row>
    <row r="33" spans="2:2">
      <c r="B33" s="5" t="s">
        <v>238</v>
      </c>
    </row>
    <row r="34" spans="2:2">
      <c r="B34" s="1" t="s">
        <v>905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53D30-CE33-4EF2-BD8B-9EB747A2658E}">
  <dimension ref="A1:H26"/>
  <sheetViews>
    <sheetView workbookViewId="0">
      <selection activeCell="K11" sqref="K11"/>
    </sheetView>
  </sheetViews>
  <sheetFormatPr defaultRowHeight="18.75"/>
  <cols>
    <col min="1" max="1" width="9.375" bestFit="1" customWidth="1"/>
    <col min="4" max="4" width="17.25" bestFit="1" customWidth="1"/>
    <col min="5" max="5" width="9.375" customWidth="1"/>
  </cols>
  <sheetData>
    <row r="1" spans="1:8">
      <c r="A1" t="s">
        <v>2</v>
      </c>
      <c r="B1" t="s">
        <v>11</v>
      </c>
      <c r="C1" t="s">
        <v>4</v>
      </c>
      <c r="D1" t="s">
        <v>478</v>
      </c>
      <c r="H1">
        <v>0</v>
      </c>
    </row>
    <row r="2" spans="1:8">
      <c r="A2" t="s">
        <v>15</v>
      </c>
      <c r="B2" t="s">
        <v>12</v>
      </c>
      <c r="C2" t="s">
        <v>5</v>
      </c>
      <c r="D2" t="s">
        <v>460</v>
      </c>
      <c r="H2">
        <v>1</v>
      </c>
    </row>
    <row r="3" spans="1:8">
      <c r="A3" t="s">
        <v>16</v>
      </c>
      <c r="B3" t="s">
        <v>13</v>
      </c>
      <c r="C3" t="s">
        <v>6</v>
      </c>
      <c r="D3" t="s">
        <v>461</v>
      </c>
      <c r="H3">
        <v>2</v>
      </c>
    </row>
    <row r="4" spans="1:8">
      <c r="A4" t="s">
        <v>17</v>
      </c>
      <c r="B4" t="s">
        <v>14</v>
      </c>
      <c r="D4" t="s">
        <v>462</v>
      </c>
      <c r="H4">
        <v>3</v>
      </c>
    </row>
    <row r="5" spans="1:8">
      <c r="A5" t="s">
        <v>0</v>
      </c>
      <c r="D5" t="s">
        <v>463</v>
      </c>
      <c r="H5">
        <v>4</v>
      </c>
    </row>
    <row r="6" spans="1:8">
      <c r="A6" t="s">
        <v>18</v>
      </c>
      <c r="D6" t="s">
        <v>464</v>
      </c>
      <c r="H6">
        <v>5</v>
      </c>
    </row>
    <row r="7" spans="1:8">
      <c r="A7" t="s">
        <v>19</v>
      </c>
      <c r="D7" t="s">
        <v>465</v>
      </c>
      <c r="H7">
        <v>6</v>
      </c>
    </row>
    <row r="8" spans="1:8">
      <c r="A8" t="s">
        <v>20</v>
      </c>
      <c r="D8" t="s">
        <v>466</v>
      </c>
      <c r="H8">
        <v>7</v>
      </c>
    </row>
    <row r="9" spans="1:8">
      <c r="A9" t="s">
        <v>535</v>
      </c>
      <c r="D9" t="s">
        <v>467</v>
      </c>
      <c r="H9">
        <v>8</v>
      </c>
    </row>
    <row r="10" spans="1:8">
      <c r="A10" t="s">
        <v>533</v>
      </c>
      <c r="D10" t="s">
        <v>468</v>
      </c>
      <c r="H10">
        <v>9</v>
      </c>
    </row>
    <row r="11" spans="1:8">
      <c r="D11" t="s">
        <v>469</v>
      </c>
      <c r="H11">
        <v>10</v>
      </c>
    </row>
    <row r="12" spans="1:8">
      <c r="D12" t="s">
        <v>470</v>
      </c>
      <c r="H12">
        <v>11</v>
      </c>
    </row>
    <row r="13" spans="1:8">
      <c r="D13" t="s">
        <v>471</v>
      </c>
      <c r="H13">
        <v>12</v>
      </c>
    </row>
    <row r="14" spans="1:8">
      <c r="D14" t="s">
        <v>472</v>
      </c>
      <c r="H14">
        <v>13</v>
      </c>
    </row>
    <row r="15" spans="1:8">
      <c r="D15" t="s">
        <v>473</v>
      </c>
      <c r="H15">
        <v>14</v>
      </c>
    </row>
    <row r="16" spans="1:8">
      <c r="D16" t="s">
        <v>474</v>
      </c>
      <c r="H16">
        <v>15</v>
      </c>
    </row>
    <row r="17" spans="4:8">
      <c r="D17" t="s">
        <v>656</v>
      </c>
      <c r="H17">
        <v>16</v>
      </c>
    </row>
    <row r="18" spans="4:8">
      <c r="D18" t="s">
        <v>657</v>
      </c>
      <c r="H18">
        <v>17</v>
      </c>
    </row>
    <row r="19" spans="4:8">
      <c r="D19" t="s">
        <v>658</v>
      </c>
      <c r="H19">
        <v>18</v>
      </c>
    </row>
    <row r="20" spans="4:8">
      <c r="D20" t="s">
        <v>659</v>
      </c>
      <c r="H20">
        <v>19</v>
      </c>
    </row>
    <row r="21" spans="4:8">
      <c r="D21" t="s">
        <v>660</v>
      </c>
    </row>
    <row r="22" spans="4:8">
      <c r="D22" t="s">
        <v>661</v>
      </c>
    </row>
    <row r="23" spans="4:8">
      <c r="D23" t="s">
        <v>662</v>
      </c>
    </row>
    <row r="24" spans="4:8">
      <c r="D24" t="s">
        <v>663</v>
      </c>
    </row>
    <row r="25" spans="4:8">
      <c r="D25" t="s">
        <v>664</v>
      </c>
    </row>
    <row r="26" spans="4:8">
      <c r="D26" t="s">
        <v>665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3C80F-605C-49E2-A1B9-B2BB57B5C51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BasicBeyond</vt:lpstr>
      <vt:lpstr>LegendsRise</vt:lpstr>
      <vt:lpstr>InfinityEvolved</vt:lpstr>
      <vt:lpstr>HeirsOfTheOmen</vt:lpstr>
      <vt:lpstr>SkyboundDragons</vt:lpstr>
      <vt:lpstr>Basic</vt:lpstr>
      <vt:lpstr>CLC</vt:lpstr>
      <vt:lpstr>DRK</vt:lpstr>
      <vt:lpstr>ROB</vt:lpstr>
      <vt:lpstr>TOG</vt:lpstr>
      <vt:lpstr>WLD</vt:lpstr>
      <vt:lpstr>ORS</vt:lpstr>
      <vt:lpstr>メモ</vt:lpstr>
      <vt:lpstr>Select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阪倉　俊広</cp:lastModifiedBy>
  <dcterms:created xsi:type="dcterms:W3CDTF">2015-06-05T18:19:34Z</dcterms:created>
  <dcterms:modified xsi:type="dcterms:W3CDTF">2025-10-28T06:05:40Z</dcterms:modified>
</cp:coreProperties>
</file>